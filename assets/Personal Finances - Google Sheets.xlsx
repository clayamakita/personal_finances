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ated By" sheetId="1" r:id="rId5"/>
    <sheet state="visible" name="Transactions" sheetId="2" r:id="rId6"/>
    <sheet state="visible" name="Budget" sheetId="3" r:id="rId7"/>
    <sheet state="visible" name="Savings" sheetId="4" r:id="rId8"/>
    <sheet state="visible" name="Savings Details" sheetId="5" r:id="rId9"/>
    <sheet state="visible" name="Accounts" sheetId="6" r:id="rId10"/>
    <sheet state="visible" name="Investments" sheetId="7" r:id="rId11"/>
    <sheet state="visible" name="Investments Price" sheetId="8" r:id="rId12"/>
    <sheet state="visible" name="Retirement" sheetId="9" r:id="rId13"/>
    <sheet state="visible" name="Dropdowns" sheetId="10" r:id="rId14"/>
    <sheet state="visible" name="Dependent Dropdowns" sheetId="11" r:id="rId15"/>
  </sheets>
  <definedNames>
    <definedName name="RetirementRange">Retirement!$A$1:$C$2</definedName>
    <definedName name="BudgetFixedCostsRange">Budget!$P$1:$AC$12</definedName>
    <definedName name="GoalsDetailsRange">'Savings Details'!$A$1:$E$13</definedName>
    <definedName name="AcccountsRange">Accounts!$A$1:$F$13</definedName>
    <definedName name="TransactionsRange">Transactions!$A$1:$K$796</definedName>
    <definedName name="TypeCategoryRange">Dropdowns!$O$2:$P$100</definedName>
    <definedName name="BudgetRange">Budget!$A$1:$M$10</definedName>
    <definedName name="InvestmentsTransactionsRange">Investments!$A$1:$L$59</definedName>
    <definedName name="GoalsRange">Savings!$A$1:$E$7</definedName>
    <definedName name="InvestmentsPriceRange">'Investments Price'!$A$1:$F$17</definedName>
    <definedName hidden="1" localSheetId="1" name="_xlnm._FilterDatabase">Transactions!$A$1:$K$796</definedName>
    <definedName hidden="1" localSheetId="6" name="_xlnm._FilterDatabase">Investments!$A$1:$L$59</definedName>
    <definedName hidden="1" localSheetId="7" name="_xlnm._FilterDatabase">'Investments Price'!$A$1:$F$17</definedName>
  </definedNames>
  <calcPr/>
</workbook>
</file>

<file path=xl/sharedStrings.xml><?xml version="1.0" encoding="utf-8"?>
<sst xmlns="http://schemas.openxmlformats.org/spreadsheetml/2006/main" count="5811" uniqueCount="1315">
  <si>
    <t>Personal Finances Analytics Project</t>
  </si>
  <si>
    <t>Created by Clarissa Yamakita</t>
  </si>
  <si>
    <t>Type</t>
  </si>
  <si>
    <t>Category</t>
  </si>
  <si>
    <t>Item</t>
  </si>
  <si>
    <t>Goal Id</t>
  </si>
  <si>
    <t>Income</t>
  </si>
  <si>
    <t>Goal Name</t>
  </si>
  <si>
    <t>Housing</t>
  </si>
  <si>
    <t>Rent</t>
  </si>
  <si>
    <t>Initial Target Date</t>
  </si>
  <si>
    <t>Fixed Costs</t>
  </si>
  <si>
    <t>Priority</t>
  </si>
  <si>
    <t>Transaction Id</t>
  </si>
  <si>
    <t>Actual Date</t>
  </si>
  <si>
    <t>Cellphone plan</t>
  </si>
  <si>
    <t>goal001</t>
  </si>
  <si>
    <t>Savings</t>
  </si>
  <si>
    <t>Date</t>
  </si>
  <si>
    <t>Vacation 2025</t>
  </si>
  <si>
    <t>Electricity bill</t>
  </si>
  <si>
    <t>Account</t>
  </si>
  <si>
    <t>Investments</t>
  </si>
  <si>
    <t>Where</t>
  </si>
  <si>
    <t>Internet</t>
  </si>
  <si>
    <t>Guilt-Free Total</t>
  </si>
  <si>
    <t>Amount</t>
  </si>
  <si>
    <t>Qty</t>
  </si>
  <si>
    <t>goal002</t>
  </si>
  <si>
    <t>Unit</t>
  </si>
  <si>
    <t>Vacation 2026</t>
  </si>
  <si>
    <t>Notes</t>
  </si>
  <si>
    <t>transaction0001</t>
  </si>
  <si>
    <t>Home insurance</t>
  </si>
  <si>
    <t>Chequing Joint Account</t>
  </si>
  <si>
    <t>Guilt-Free Family</t>
  </si>
  <si>
    <t>goal003</t>
  </si>
  <si>
    <t>Willowmere Apartments</t>
  </si>
  <si>
    <t>Laptop</t>
  </si>
  <si>
    <t>goal004</t>
  </si>
  <si>
    <t>Goal Detail Id</t>
  </si>
  <si>
    <t>Gaming Console</t>
  </si>
  <si>
    <t>Groceries</t>
  </si>
  <si>
    <t>Groceries Total</t>
  </si>
  <si>
    <t>Guilt-Free Kenji</t>
  </si>
  <si>
    <t>test</t>
  </si>
  <si>
    <t>goal005</t>
  </si>
  <si>
    <t>Vacation 2027</t>
  </si>
  <si>
    <t>Household Items</t>
  </si>
  <si>
    <t>goaldetail001</t>
  </si>
  <si>
    <t>Household Items Total</t>
  </si>
  <si>
    <t>Guilt-Free Mei</t>
  </si>
  <si>
    <t>Savings Family</t>
  </si>
  <si>
    <t>transaction0002</t>
  </si>
  <si>
    <t>Credit Card Kenji</t>
  </si>
  <si>
    <t>goal006</t>
  </si>
  <si>
    <t>Harborview Insurance</t>
  </si>
  <si>
    <t>Pet</t>
  </si>
  <si>
    <t>Car</t>
  </si>
  <si>
    <t>Pet Total</t>
  </si>
  <si>
    <t>goaldetail002</t>
  </si>
  <si>
    <t>Guilt-Free Pet</t>
  </si>
  <si>
    <t>Transportation</t>
  </si>
  <si>
    <t>Transportation Total</t>
  </si>
  <si>
    <t>goaldetail003</t>
  </si>
  <si>
    <t>transaction0003</t>
  </si>
  <si>
    <t>Healthcare</t>
  </si>
  <si>
    <t>Healthcare Total</t>
  </si>
  <si>
    <t>Fixed Costs %</t>
  </si>
  <si>
    <t>Brightfield Analytics</t>
  </si>
  <si>
    <t>Paycheck</t>
  </si>
  <si>
    <t>goaldetail004</t>
  </si>
  <si>
    <t>Account Id</t>
  </si>
  <si>
    <t>Miscellaneous</t>
  </si>
  <si>
    <t>Miscellaneous Total</t>
  </si>
  <si>
    <t>goaldetail005</t>
  </si>
  <si>
    <t>transaction0004</t>
  </si>
  <si>
    <t>Beginning Balance</t>
  </si>
  <si>
    <t>Waveform Audio Studios</t>
  </si>
  <si>
    <t>Current Balance</t>
  </si>
  <si>
    <t>Account Type</t>
  </si>
  <si>
    <t>Account Category</t>
  </si>
  <si>
    <t>account01</t>
  </si>
  <si>
    <t>goaldetail006</t>
  </si>
  <si>
    <t>Savings %</t>
  </si>
  <si>
    <t>Cash</t>
  </si>
  <si>
    <t>Car + taxes</t>
  </si>
  <si>
    <t>goaldetail007</t>
  </si>
  <si>
    <t>Dealer fees</t>
  </si>
  <si>
    <t>Investments %</t>
  </si>
  <si>
    <t>transaction0005</t>
  </si>
  <si>
    <t>goaldetail008</t>
  </si>
  <si>
    <t>TFSA</t>
  </si>
  <si>
    <t>Assets</t>
  </si>
  <si>
    <t>Car insurance</t>
  </si>
  <si>
    <t>Chequing</t>
  </si>
  <si>
    <t>goaldetail009</t>
  </si>
  <si>
    <t>account02</t>
  </si>
  <si>
    <t>transaction0006</t>
  </si>
  <si>
    <t>Guilt-Free %</t>
  </si>
  <si>
    <t>Chequing Kenji</t>
  </si>
  <si>
    <t>Registration / license</t>
  </si>
  <si>
    <t>TFSA Kenji</t>
  </si>
  <si>
    <t>Transfer</t>
  </si>
  <si>
    <t>goaldetail010</t>
  </si>
  <si>
    <t>Deposit</t>
  </si>
  <si>
    <t>Inspection fees</t>
  </si>
  <si>
    <t>Guilt-Free Family %</t>
  </si>
  <si>
    <t>goaldetail011</t>
  </si>
  <si>
    <t>Immediate maintenance</t>
  </si>
  <si>
    <t>account03</t>
  </si>
  <si>
    <t>Guilt-Free Kenji %</t>
  </si>
  <si>
    <t>Chequing Mei</t>
  </si>
  <si>
    <t>transaction0007</t>
  </si>
  <si>
    <t>goaldetail012</t>
  </si>
  <si>
    <t>Guilt-Free Mei %</t>
  </si>
  <si>
    <t>Vehicle history report</t>
  </si>
  <si>
    <t>Guilt-Free Pet %</t>
  </si>
  <si>
    <t>account04</t>
  </si>
  <si>
    <t>transaction0008</t>
  </si>
  <si>
    <t xml:space="preserve"> </t>
  </si>
  <si>
    <t>TFSA Mei</t>
  </si>
  <si>
    <t>Investment Transaction Id</t>
  </si>
  <si>
    <t>account05</t>
  </si>
  <si>
    <t>Event</t>
  </si>
  <si>
    <t>transaction0009</t>
  </si>
  <si>
    <t>Ticker</t>
  </si>
  <si>
    <t>Liabilities</t>
  </si>
  <si>
    <t>Investment Name</t>
  </si>
  <si>
    <t>Credit Card</t>
  </si>
  <si>
    <t>Price</t>
  </si>
  <si>
    <t>Total Value</t>
  </si>
  <si>
    <t>account06</t>
  </si>
  <si>
    <t>Dividends</t>
  </si>
  <si>
    <t>Credit Card Mei</t>
  </si>
  <si>
    <t>Net Qty</t>
  </si>
  <si>
    <t>Family Fund</t>
  </si>
  <si>
    <t>invtransaction0001</t>
  </si>
  <si>
    <t>ETF</t>
  </si>
  <si>
    <t>Buy</t>
  </si>
  <si>
    <t>VFV</t>
  </si>
  <si>
    <t>account07</t>
  </si>
  <si>
    <t>Savings Kenji</t>
  </si>
  <si>
    <t>transaction0010</t>
  </si>
  <si>
    <t>account08</t>
  </si>
  <si>
    <t>Savings Mei</t>
  </si>
  <si>
    <t>transaction0011</t>
  </si>
  <si>
    <t>Metro Line Transit Authority</t>
  </si>
  <si>
    <t>Card credit</t>
  </si>
  <si>
    <t>account09</t>
  </si>
  <si>
    <t>account10</t>
  </si>
  <si>
    <t>invtransaction0002</t>
  </si>
  <si>
    <t>Emergency Fund</t>
  </si>
  <si>
    <t>transaction0012</t>
  </si>
  <si>
    <t>VIU</t>
  </si>
  <si>
    <t>account11</t>
  </si>
  <si>
    <t>transaction0013</t>
  </si>
  <si>
    <t>account12</t>
  </si>
  <si>
    <t>Muddy Paws Pet Supply</t>
  </si>
  <si>
    <t>Raw dog food</t>
  </si>
  <si>
    <t>invtransaction0003</t>
  </si>
  <si>
    <t>lb</t>
  </si>
  <si>
    <t>XIC</t>
  </si>
  <si>
    <t>transaction0014</t>
  </si>
  <si>
    <t>Fresh Market Co-op</t>
  </si>
  <si>
    <t>Gelato</t>
  </si>
  <si>
    <t>liter</t>
  </si>
  <si>
    <t>transaction0015</t>
  </si>
  <si>
    <t>Investment Price Id</t>
  </si>
  <si>
    <t>Spinach</t>
  </si>
  <si>
    <t>bunch</t>
  </si>
  <si>
    <t>Live Price</t>
  </si>
  <si>
    <t>Last Trade Time</t>
  </si>
  <si>
    <t>invtransaction0004</t>
  </si>
  <si>
    <t>Time Delay</t>
  </si>
  <si>
    <t>invprice01</t>
  </si>
  <si>
    <t>XEQT</t>
  </si>
  <si>
    <t>iShares Core Equity ETF Portfolio</t>
  </si>
  <si>
    <t>XRE</t>
  </si>
  <si>
    <t>transaction0016</t>
  </si>
  <si>
    <t>Spice blend</t>
  </si>
  <si>
    <t>invprice02</t>
  </si>
  <si>
    <t>VEQT</t>
  </si>
  <si>
    <t>Vanguard All-Equity ETF Portfolio</t>
  </si>
  <si>
    <t>transaction0017</t>
  </si>
  <si>
    <t>Greek yogurt</t>
  </si>
  <si>
    <t>invtransaction0005</t>
  </si>
  <si>
    <t>invprice03</t>
  </si>
  <si>
    <t>kg</t>
  </si>
  <si>
    <t>iShares Core S&amp;P/TSX Capped Composite Index ETF</t>
  </si>
  <si>
    <t>XCS</t>
  </si>
  <si>
    <t>transaction0018</t>
  </si>
  <si>
    <t>Bell peppers</t>
  </si>
  <si>
    <t>invprice04</t>
  </si>
  <si>
    <t>VDY</t>
  </si>
  <si>
    <t>Vanguard FTSE Canadian High Dividend Yield Index ETF</t>
  </si>
  <si>
    <t>invprice05</t>
  </si>
  <si>
    <t>transaction0019</t>
  </si>
  <si>
    <t>XAW</t>
  </si>
  <si>
    <t>iShares Core MSCI All Country World ex Canada Index ETF</t>
  </si>
  <si>
    <t>Lemon</t>
  </si>
  <si>
    <t>unit</t>
  </si>
  <si>
    <t>invprice06</t>
  </si>
  <si>
    <t>Vanguard FTSE Developed All Cap ex North America Index ETF</t>
  </si>
  <si>
    <t>transaction0020</t>
  </si>
  <si>
    <t>invtransaction0006</t>
  </si>
  <si>
    <t>Fresh basil</t>
  </si>
  <si>
    <t>invprice07</t>
  </si>
  <si>
    <t>Vanguard S&amp;P 500 Index ETF</t>
  </si>
  <si>
    <t>transaction0021</t>
  </si>
  <si>
    <t>invprice08</t>
  </si>
  <si>
    <t>VGRO</t>
  </si>
  <si>
    <t>Vanguard Growth ETF Portfolio</t>
  </si>
  <si>
    <t>Beef pot roast (chuck)</t>
  </si>
  <si>
    <t>transaction0022</t>
  </si>
  <si>
    <t>invprice09</t>
  </si>
  <si>
    <t>XUU</t>
  </si>
  <si>
    <t>iShares Core S&amp;P U.S. Total Market Index ETF</t>
  </si>
  <si>
    <t>Soy sauce</t>
  </si>
  <si>
    <t>invtransaction0007</t>
  </si>
  <si>
    <t>invprice10</t>
  </si>
  <si>
    <t>transaction0023</t>
  </si>
  <si>
    <t>XGRO</t>
  </si>
  <si>
    <t>iShares Core Growth ETF</t>
  </si>
  <si>
    <t>Fresh parsley</t>
  </si>
  <si>
    <t>invprice11</t>
  </si>
  <si>
    <t>VCN</t>
  </si>
  <si>
    <t>Vanguard FTSE Canada All Cap Index ETF</t>
  </si>
  <si>
    <t>transaction0024</t>
  </si>
  <si>
    <t>Dark chocolate bar</t>
  </si>
  <si>
    <t>invprice12</t>
  </si>
  <si>
    <t>XDIV</t>
  </si>
  <si>
    <t>iShares Core MSCI Canadian Quality Dividend Index ETF</t>
  </si>
  <si>
    <t>invtransaction0008</t>
  </si>
  <si>
    <t>transaction0025</t>
  </si>
  <si>
    <t>invprice13</t>
  </si>
  <si>
    <t>RY</t>
  </si>
  <si>
    <t>Apples</t>
  </si>
  <si>
    <t>transaction0026</t>
  </si>
  <si>
    <t>invprice14</t>
  </si>
  <si>
    <t>FTS</t>
  </si>
  <si>
    <t>Salmon fillet</t>
  </si>
  <si>
    <t>invtransaction0009</t>
  </si>
  <si>
    <t>transaction0027</t>
  </si>
  <si>
    <t>invprice15</t>
  </si>
  <si>
    <t>Cabbage</t>
  </si>
  <si>
    <t>transaction0028</t>
  </si>
  <si>
    <t>invprice16</t>
  </si>
  <si>
    <t>Pho Saigon</t>
  </si>
  <si>
    <t>Dinner - Vietnamese cuisine</t>
  </si>
  <si>
    <t>invtransaction0010</t>
  </si>
  <si>
    <t>Dining Out</t>
  </si>
  <si>
    <t>transaction0029</t>
  </si>
  <si>
    <t>Online Retail Shop</t>
  </si>
  <si>
    <t>Tick and flea treatment</t>
  </si>
  <si>
    <t>month</t>
  </si>
  <si>
    <t>transaction0030</t>
  </si>
  <si>
    <t>invtransaction0011</t>
  </si>
  <si>
    <t>Lumen Wave Broadband</t>
  </si>
  <si>
    <t>Current Age</t>
  </si>
  <si>
    <t>Retirement Age</t>
  </si>
  <si>
    <t>Projected Interest Rate</t>
  </si>
  <si>
    <t>transaction0031</t>
  </si>
  <si>
    <t>Pork loin chops</t>
  </si>
  <si>
    <t>Year</t>
  </si>
  <si>
    <t>Month</t>
  </si>
  <si>
    <t>invtransaction0012</t>
  </si>
  <si>
    <t>transaction0032</t>
  </si>
  <si>
    <t>Savings Spending</t>
  </si>
  <si>
    <t>Frozen pizza</t>
  </si>
  <si>
    <t>FHSA</t>
  </si>
  <si>
    <t>Clothing</t>
  </si>
  <si>
    <t>Treats</t>
  </si>
  <si>
    <t>transaction0033</t>
  </si>
  <si>
    <t>Ketchup</t>
  </si>
  <si>
    <t>Reimbursement</t>
  </si>
  <si>
    <t>Vacation Fund</t>
  </si>
  <si>
    <t>Gifts</t>
  </si>
  <si>
    <t>Toys</t>
  </si>
  <si>
    <t>Withdrawal</t>
  </si>
  <si>
    <t>Investment Returns</t>
  </si>
  <si>
    <t>Kenji Fund</t>
  </si>
  <si>
    <t>RRSP</t>
  </si>
  <si>
    <t>Hobbies</t>
  </si>
  <si>
    <t>invtransaction0013</t>
  </si>
  <si>
    <t>Cashback</t>
  </si>
  <si>
    <t>Mei Fund</t>
  </si>
  <si>
    <t>Entertainment</t>
  </si>
  <si>
    <t>Gaming</t>
  </si>
  <si>
    <t>Organization</t>
  </si>
  <si>
    <t>Grooming</t>
  </si>
  <si>
    <t>transaction0034</t>
  </si>
  <si>
    <t>Rewards</t>
  </si>
  <si>
    <t>Pet Fund</t>
  </si>
  <si>
    <t>Subscriptions</t>
  </si>
  <si>
    <t>Daycare</t>
  </si>
  <si>
    <t>Ground turkey</t>
  </si>
  <si>
    <t>Car Fund</t>
  </si>
  <si>
    <t>Boarding</t>
  </si>
  <si>
    <t>Debt</t>
  </si>
  <si>
    <t>transaction0035</t>
  </si>
  <si>
    <t>Bread</t>
  </si>
  <si>
    <t>invtransaction0014</t>
  </si>
  <si>
    <t>Travel</t>
  </si>
  <si>
    <t>loaf</t>
  </si>
  <si>
    <t>transaction0036</t>
  </si>
  <si>
    <t>Beef sirloin steak</t>
  </si>
  <si>
    <t>invtransaction0015</t>
  </si>
  <si>
    <t>transaction0037</t>
  </si>
  <si>
    <t>Broccoli</t>
  </si>
  <si>
    <t>head</t>
  </si>
  <si>
    <t>transaction0038</t>
  </si>
  <si>
    <t>invtransaction0016</t>
  </si>
  <si>
    <t>transaction0039</t>
  </si>
  <si>
    <t>Riverside Music School</t>
  </si>
  <si>
    <t>Trial guitar lesson</t>
  </si>
  <si>
    <t>transaction0040</t>
  </si>
  <si>
    <t>Bullseye Archery Club</t>
  </si>
  <si>
    <t>Trial archery class</t>
  </si>
  <si>
    <t>invtransaction0017</t>
  </si>
  <si>
    <t>transaction0041</t>
  </si>
  <si>
    <t>Credit card payment</t>
  </si>
  <si>
    <t>transaction0042</t>
  </si>
  <si>
    <t>invtransaction0018</t>
  </si>
  <si>
    <t>transaction0043</t>
  </si>
  <si>
    <t>Taqueria El Sol</t>
  </si>
  <si>
    <t>Dinner - Mexican tacos</t>
  </si>
  <si>
    <t>transaction0044</t>
  </si>
  <si>
    <t>The Cork &amp; Barrel</t>
  </si>
  <si>
    <t>Gift for New Year's host - bottle of wine</t>
  </si>
  <si>
    <t>transaction0045</t>
  </si>
  <si>
    <t>Trust Bank</t>
  </si>
  <si>
    <t>invtransaction0019</t>
  </si>
  <si>
    <t>transaction0046</t>
  </si>
  <si>
    <t>Tunecast</t>
  </si>
  <si>
    <t>Subscription</t>
  </si>
  <si>
    <t>transaction0047</t>
  </si>
  <si>
    <t>Yellow onions</t>
  </si>
  <si>
    <t>invtransaction0020</t>
  </si>
  <si>
    <t>transaction0048</t>
  </si>
  <si>
    <t>Cascade Power &amp; Light</t>
  </si>
  <si>
    <t>transaction0049</t>
  </si>
  <si>
    <t>Tea bags</t>
  </si>
  <si>
    <t>bag</t>
  </si>
  <si>
    <t>invtransaction0021</t>
  </si>
  <si>
    <t>transaction0050</t>
  </si>
  <si>
    <t>Zucchini</t>
  </si>
  <si>
    <t>transaction0051</t>
  </si>
  <si>
    <t>invtransaction0022</t>
  </si>
  <si>
    <t>transaction0052</t>
  </si>
  <si>
    <t>transaction0053</t>
  </si>
  <si>
    <t>invtransaction0023</t>
  </si>
  <si>
    <t>transaction0054</t>
  </si>
  <si>
    <t>transaction0055</t>
  </si>
  <si>
    <t>Eggs</t>
  </si>
  <si>
    <t>egg</t>
  </si>
  <si>
    <t>invtransaction0024</t>
  </si>
  <si>
    <t>transaction0056</t>
  </si>
  <si>
    <t>transaction0057</t>
  </si>
  <si>
    <t>invtransaction0025</t>
  </si>
  <si>
    <t>transaction0058</t>
  </si>
  <si>
    <t>TrailBlaze Sports</t>
  </si>
  <si>
    <t>New running shoes</t>
  </si>
  <si>
    <t>transaction0059</t>
  </si>
  <si>
    <t>New winter boots</t>
  </si>
  <si>
    <t>transaction0060</t>
  </si>
  <si>
    <t>Flirt pole</t>
  </si>
  <si>
    <t>invtransaction0026</t>
  </si>
  <si>
    <t>transaction0061</t>
  </si>
  <si>
    <t>transaction0062</t>
  </si>
  <si>
    <t>transaction0063</t>
  </si>
  <si>
    <t>Trattoria Bella</t>
  </si>
  <si>
    <t>Dinner - Italian pasta night</t>
  </si>
  <si>
    <t>invtransaction0027</t>
  </si>
  <si>
    <t>transaction0064</t>
  </si>
  <si>
    <t>The Alderwood Inn</t>
  </si>
  <si>
    <t>One-night staycation - boutique hotel room</t>
  </si>
  <si>
    <t>transaction0065</t>
  </si>
  <si>
    <t>GreenWheels Car Co-op</t>
  </si>
  <si>
    <t>Car share - round trip to The Alderwood Inn</t>
  </si>
  <si>
    <t>invtransaction0028</t>
  </si>
  <si>
    <t>transaction0066</t>
  </si>
  <si>
    <t>Willow &amp; Co. Apparel</t>
  </si>
  <si>
    <t>New sweater</t>
  </si>
  <si>
    <t>transaction0067</t>
  </si>
  <si>
    <t>Neighbourhood Grocer</t>
  </si>
  <si>
    <t>Celery</t>
  </si>
  <si>
    <t>invtransaction0029</t>
  </si>
  <si>
    <t>transaction0068</t>
  </si>
  <si>
    <t>Garlic</t>
  </si>
  <si>
    <t>transaction0069</t>
  </si>
  <si>
    <t>Hand soap</t>
  </si>
  <si>
    <t>invtransaction0030</t>
  </si>
  <si>
    <t>transaction0070</t>
  </si>
  <si>
    <t>Sweet potatoes</t>
  </si>
  <si>
    <t>invtransaction0031</t>
  </si>
  <si>
    <t>transaction0071</t>
  </si>
  <si>
    <t>transaction0072</t>
  </si>
  <si>
    <t>Canned chickpeas</t>
  </si>
  <si>
    <t>can</t>
  </si>
  <si>
    <t>invtransaction0032</t>
  </si>
  <si>
    <t>transaction0073</t>
  </si>
  <si>
    <t>Potato chips</t>
  </si>
  <si>
    <t>transaction0074</t>
  </si>
  <si>
    <t>Mirin</t>
  </si>
  <si>
    <t>transaction0075</t>
  </si>
  <si>
    <t>invtransaction0033</t>
  </si>
  <si>
    <t>All purpose cleaner</t>
  </si>
  <si>
    <t>transaction0076</t>
  </si>
  <si>
    <t>Shampoo</t>
  </si>
  <si>
    <t>transaction0077</t>
  </si>
  <si>
    <t>Body lotion</t>
  </si>
  <si>
    <t>invtransaction0034</t>
  </si>
  <si>
    <t>transaction0078</t>
  </si>
  <si>
    <t>Potatoes</t>
  </si>
  <si>
    <t>transaction0079</t>
  </si>
  <si>
    <t>invtransaction0035</t>
  </si>
  <si>
    <t>transaction0080</t>
  </si>
  <si>
    <t>transaction0081</t>
  </si>
  <si>
    <t>Pulseline Mobile</t>
  </si>
  <si>
    <t>invtransaction0036</t>
  </si>
  <si>
    <t>transaction0082</t>
  </si>
  <si>
    <t>Seoul Kitchen</t>
  </si>
  <si>
    <t>Dinner - Korean BBQ</t>
  </si>
  <si>
    <t>transaction0083</t>
  </si>
  <si>
    <t>Hopyard Craft Beer Shop</t>
  </si>
  <si>
    <t>Birthday gift for friend - craft beer 6-pack</t>
  </si>
  <si>
    <t>invtransaction0037</t>
  </si>
  <si>
    <t>transaction0084</t>
  </si>
  <si>
    <t>Flickstream</t>
  </si>
  <si>
    <t>transaction0085</t>
  </si>
  <si>
    <t>invtransaction0038</t>
  </si>
  <si>
    <t>transaction0086</t>
  </si>
  <si>
    <t>transaction0087</t>
  </si>
  <si>
    <t>invtransaction0039</t>
  </si>
  <si>
    <t>transaction0088</t>
  </si>
  <si>
    <t>transaction0089</t>
  </si>
  <si>
    <t>Tylenol cold medication</t>
  </si>
  <si>
    <t>capsule</t>
  </si>
  <si>
    <t>invtransaction0040</t>
  </si>
  <si>
    <t>transaction0090</t>
  </si>
  <si>
    <t>Hand sanitizer</t>
  </si>
  <si>
    <t>transaction0091</t>
  </si>
  <si>
    <t>Lozenge</t>
  </si>
  <si>
    <t>invtransaction0041</t>
  </si>
  <si>
    <t>transaction0092</t>
  </si>
  <si>
    <t>transaction0093</t>
  </si>
  <si>
    <t>invtransaction0042</t>
  </si>
  <si>
    <t>transaction0094</t>
  </si>
  <si>
    <t>Green onions</t>
  </si>
  <si>
    <t>transaction0095</t>
  </si>
  <si>
    <t>Ginger</t>
  </si>
  <si>
    <t>transaction0096</t>
  </si>
  <si>
    <t>invtransaction0043</t>
  </si>
  <si>
    <t>Parmesan</t>
  </si>
  <si>
    <t>transaction0097</t>
  </si>
  <si>
    <t>Paycheck surplus</t>
  </si>
  <si>
    <t>transaction0098</t>
  </si>
  <si>
    <t>invtransaction0044</t>
  </si>
  <si>
    <t>transaction0099</t>
  </si>
  <si>
    <t>transaction0100</t>
  </si>
  <si>
    <t>invtransaction0045</t>
  </si>
  <si>
    <t>transaction0101</t>
  </si>
  <si>
    <t>Coffee beans</t>
  </si>
  <si>
    <t>transaction0102</t>
  </si>
  <si>
    <t>invtransaction0046</t>
  </si>
  <si>
    <t>Tomatoes</t>
  </si>
  <si>
    <t>transaction0103</t>
  </si>
  <si>
    <t>transaction0104</t>
  </si>
  <si>
    <t>Interest</t>
  </si>
  <si>
    <t>transaction0105</t>
  </si>
  <si>
    <t>transaction0106</t>
  </si>
  <si>
    <t>transaction0107</t>
  </si>
  <si>
    <t>transaction0108</t>
  </si>
  <si>
    <t>transaction0109</t>
  </si>
  <si>
    <t>Corner Butcher &amp; Deli</t>
  </si>
  <si>
    <t>Canned black beans</t>
  </si>
  <si>
    <t>transaction0110</t>
  </si>
  <si>
    <t>Sparkling water</t>
  </si>
  <si>
    <t>transaction0111</t>
  </si>
  <si>
    <t>transaction0112</t>
  </si>
  <si>
    <t>transaction0113</t>
  </si>
  <si>
    <t>Avocado</t>
  </si>
  <si>
    <t>transaction0114</t>
  </si>
  <si>
    <t>Dijon mustard</t>
  </si>
  <si>
    <t>transaction0115</t>
  </si>
  <si>
    <t>Cinnamon buns</t>
  </si>
  <si>
    <t>pack</t>
  </si>
  <si>
    <t>transaction0116</t>
  </si>
  <si>
    <t>transaction0117</t>
  </si>
  <si>
    <t>Oats</t>
  </si>
  <si>
    <t>transaction0118</t>
  </si>
  <si>
    <t>Pasta</t>
  </si>
  <si>
    <t>transaction0119</t>
  </si>
  <si>
    <t>4-class archery package</t>
  </si>
  <si>
    <t>transaction0120</t>
  </si>
  <si>
    <t>Ethiopian Spice House</t>
  </si>
  <si>
    <t>Dinner - Ethiopian cuisine</t>
  </si>
  <si>
    <t>transaction0121</t>
  </si>
  <si>
    <t>transaction0122</t>
  </si>
  <si>
    <t>transaction0123</t>
  </si>
  <si>
    <t>transaction0124</t>
  </si>
  <si>
    <t>transaction0125</t>
  </si>
  <si>
    <t>transaction0126</t>
  </si>
  <si>
    <t>transaction0127</t>
  </si>
  <si>
    <t>transaction0128</t>
  </si>
  <si>
    <t>transaction0129</t>
  </si>
  <si>
    <t>Guitar lessons - 4 pack</t>
  </si>
  <si>
    <t>transaction0130</t>
  </si>
  <si>
    <t>transaction0131</t>
  </si>
  <si>
    <t>transaction0132</t>
  </si>
  <si>
    <t>transaction0133</t>
  </si>
  <si>
    <t>transaction0134</t>
  </si>
  <si>
    <t>transaction0135</t>
  </si>
  <si>
    <t>transaction0136</t>
  </si>
  <si>
    <t>transaction0137</t>
  </si>
  <si>
    <t>transaction0138</t>
  </si>
  <si>
    <t>Petal &amp; Stem Florist</t>
  </si>
  <si>
    <t>Valentine's Day gift for Mei - bouquet of flowers</t>
  </si>
  <si>
    <t>transaction0139</t>
  </si>
  <si>
    <t>Cacao &amp; Co. Chocolatier</t>
  </si>
  <si>
    <t>Valentine's Day gift for Kenji - specialty chocolate box</t>
  </si>
  <si>
    <t>transaction0140</t>
  </si>
  <si>
    <t>Bistro Laurent</t>
  </si>
  <si>
    <t>Valentine's Day dinner</t>
  </si>
  <si>
    <t>transaction0141</t>
  </si>
  <si>
    <t>Car share - round trip to boarding and restaurant</t>
  </si>
  <si>
    <t>transaction0142</t>
  </si>
  <si>
    <t>Puppy Grooming and Daycare</t>
  </si>
  <si>
    <t>transaction0143</t>
  </si>
  <si>
    <t>transaction0144</t>
  </si>
  <si>
    <t>Car share - round trip to boarding</t>
  </si>
  <si>
    <t>transaction0145</t>
  </si>
  <si>
    <t>transaction0146</t>
  </si>
  <si>
    <t>transaction0147</t>
  </si>
  <si>
    <t>Carrots</t>
  </si>
  <si>
    <t>transaction0148</t>
  </si>
  <si>
    <t>Ziploc bags</t>
  </si>
  <si>
    <t>transaction0149</t>
  </si>
  <si>
    <t>Paper towel</t>
  </si>
  <si>
    <t>transaction0150</t>
  </si>
  <si>
    <t>Bananas</t>
  </si>
  <si>
    <t>transaction0151</t>
  </si>
  <si>
    <t>Mayonnaise</t>
  </si>
  <si>
    <t>transaction0152</t>
  </si>
  <si>
    <t>transaction0153</t>
  </si>
  <si>
    <t>transaction0154</t>
  </si>
  <si>
    <t>transaction0155</t>
  </si>
  <si>
    <t>transaction0156</t>
  </si>
  <si>
    <t>transaction0157</t>
  </si>
  <si>
    <t>transaction0158</t>
  </si>
  <si>
    <t>Laundry pods</t>
  </si>
  <si>
    <t>pod</t>
  </si>
  <si>
    <t>transaction0159</t>
  </si>
  <si>
    <t>Dishwasher pods</t>
  </si>
  <si>
    <t>transaction0160</t>
  </si>
  <si>
    <t>transaction0161</t>
  </si>
  <si>
    <t>Milk</t>
  </si>
  <si>
    <t>transaction0162</t>
  </si>
  <si>
    <t>Frozen peas</t>
  </si>
  <si>
    <t>transaction0163</t>
  </si>
  <si>
    <t>transaction0164</t>
  </si>
  <si>
    <t>Rice</t>
  </si>
  <si>
    <t>kh</t>
  </si>
  <si>
    <t>transaction0165</t>
  </si>
  <si>
    <t>transaction0166</t>
  </si>
  <si>
    <t>transaction0167</t>
  </si>
  <si>
    <t>transaction0168</t>
  </si>
  <si>
    <t>transaction0169</t>
  </si>
  <si>
    <t>transaction0170</t>
  </si>
  <si>
    <t>Frozen mixed berries</t>
  </si>
  <si>
    <t>transaction0171</t>
  </si>
  <si>
    <t>Canned tuna</t>
  </si>
  <si>
    <t>transaction0172</t>
  </si>
  <si>
    <t>Mushrooms</t>
  </si>
  <si>
    <t>transaction0173</t>
  </si>
  <si>
    <t>transaction0174</t>
  </si>
  <si>
    <t>Nexus Arcade VR</t>
  </si>
  <si>
    <t>VR Session - 2 people</t>
  </si>
  <si>
    <t>transaction0175</t>
  </si>
  <si>
    <t>Thai Orchid</t>
  </si>
  <si>
    <t>Dinner - Thai cuisine</t>
  </si>
  <si>
    <t>transaction0176</t>
  </si>
  <si>
    <t>transaction0177</t>
  </si>
  <si>
    <t>transaction0178</t>
  </si>
  <si>
    <t>transaction0179</t>
  </si>
  <si>
    <t>Oranges</t>
  </si>
  <si>
    <t>transaction0180</t>
  </si>
  <si>
    <t>transaction0181</t>
  </si>
  <si>
    <t>Harmony Strings Music Shop</t>
  </si>
  <si>
    <t>Guitar tuner</t>
  </si>
  <si>
    <t>transaction0182</t>
  </si>
  <si>
    <t>transaction0183</t>
  </si>
  <si>
    <t>transaction0184</t>
  </si>
  <si>
    <t>transaction0185</t>
  </si>
  <si>
    <t>transaction0186</t>
  </si>
  <si>
    <t>transaction0187</t>
  </si>
  <si>
    <t>Le Marche Bakery</t>
  </si>
  <si>
    <t>Weekend brunch</t>
  </si>
  <si>
    <t>transaction0188</t>
  </si>
  <si>
    <t>transaction0189</t>
  </si>
  <si>
    <t>transaction0190</t>
  </si>
  <si>
    <t>Chicken breast</t>
  </si>
  <si>
    <t>transaction0191</t>
  </si>
  <si>
    <t>transaction0192</t>
  </si>
  <si>
    <t>transaction0193</t>
  </si>
  <si>
    <t>transaction0194</t>
  </si>
  <si>
    <t>Barrel &amp; Vine Liquors</t>
  </si>
  <si>
    <t>Red cooking wine</t>
  </si>
  <si>
    <t>transaction0195</t>
  </si>
  <si>
    <t>transaction0196</t>
  </si>
  <si>
    <t>transaction0197</t>
  </si>
  <si>
    <t>transaction0198</t>
  </si>
  <si>
    <t>transaction0199</t>
  </si>
  <si>
    <t>transaction0200</t>
  </si>
  <si>
    <t>transaction0201</t>
  </si>
  <si>
    <t>transaction0202</t>
  </si>
  <si>
    <t>transaction0203</t>
  </si>
  <si>
    <t>transaction0204</t>
  </si>
  <si>
    <t>transaction0205</t>
  </si>
  <si>
    <t>transaction0206</t>
  </si>
  <si>
    <t>transaction0207</t>
  </si>
  <si>
    <t>Croissants</t>
  </si>
  <si>
    <t>transaction0208</t>
  </si>
  <si>
    <t>transaction0209</t>
  </si>
  <si>
    <t>Spice Route Curry House</t>
  </si>
  <si>
    <t>Dinner - Indian cuisine</t>
  </si>
  <si>
    <t>transaction0210</t>
  </si>
  <si>
    <t>transaction0211</t>
  </si>
  <si>
    <t>transaction0212</t>
  </si>
  <si>
    <t>transaction0213</t>
  </si>
  <si>
    <t>transaction0214</t>
  </si>
  <si>
    <t>transaction0215</t>
  </si>
  <si>
    <t>Bonus</t>
  </si>
  <si>
    <t>transaction0216</t>
  </si>
  <si>
    <t>transaction0217</t>
  </si>
  <si>
    <t>transaction0218</t>
  </si>
  <si>
    <t>transaction0219</t>
  </si>
  <si>
    <t>transaction0220</t>
  </si>
  <si>
    <t>transaction0221</t>
  </si>
  <si>
    <t>transaction0222</t>
  </si>
  <si>
    <t>transaction0223</t>
  </si>
  <si>
    <t>transaction0224</t>
  </si>
  <si>
    <t>Bacon</t>
  </si>
  <si>
    <t>transaction0225</t>
  </si>
  <si>
    <t>transaction0226</t>
  </si>
  <si>
    <t>transaction0227</t>
  </si>
  <si>
    <t>transaction0228</t>
  </si>
  <si>
    <t>Green Meeple Games</t>
  </si>
  <si>
    <t>Baby shower gift for friends - board game</t>
  </si>
  <si>
    <t>transaction0229</t>
  </si>
  <si>
    <t>Golden Dragon</t>
  </si>
  <si>
    <t>Dinner - Cantonese cuisine</t>
  </si>
  <si>
    <t>transaction0230</t>
  </si>
  <si>
    <t>transaction0231</t>
  </si>
  <si>
    <t>transaction0232</t>
  </si>
  <si>
    <t>transaction0233</t>
  </si>
  <si>
    <t>transaction0234</t>
  </si>
  <si>
    <t>transaction0235</t>
  </si>
  <si>
    <t>North Peak Basics</t>
  </si>
  <si>
    <t>Fleece jacket</t>
  </si>
  <si>
    <t>transaction0236</t>
  </si>
  <si>
    <t>Outdoor Trailhead Co-op</t>
  </si>
  <si>
    <t>Hiking boots (2 pairs)</t>
  </si>
  <si>
    <t>transaction0237</t>
  </si>
  <si>
    <t>Bully sticks</t>
  </si>
  <si>
    <t>transaction0238</t>
  </si>
  <si>
    <t>Duck feet</t>
  </si>
  <si>
    <t>transaction0239</t>
  </si>
  <si>
    <t>Emerald Ridge Provincial Park</t>
  </si>
  <si>
    <t>Day-hike trail fee</t>
  </si>
  <si>
    <t>transaction0240</t>
  </si>
  <si>
    <t>Car share - round trip to trailhead (5.5 hrs, 92 km)</t>
  </si>
  <si>
    <t>transaction0241</t>
  </si>
  <si>
    <t>transaction0242</t>
  </si>
  <si>
    <t>Cream cheese</t>
  </si>
  <si>
    <t>transaction0243</t>
  </si>
  <si>
    <t>Toilet paper</t>
  </si>
  <si>
    <t>roll</t>
  </si>
  <si>
    <t>transaction0244</t>
  </si>
  <si>
    <t>Body wash</t>
  </si>
  <si>
    <t>transaction0245</t>
  </si>
  <si>
    <t>transaction0246</t>
  </si>
  <si>
    <t>transaction0247</t>
  </si>
  <si>
    <t>transaction0248</t>
  </si>
  <si>
    <t>transaction0249</t>
  </si>
  <si>
    <t>transaction0250</t>
  </si>
  <si>
    <t>transaction0251</t>
  </si>
  <si>
    <t>transaction0252</t>
  </si>
  <si>
    <t>Shrimp</t>
  </si>
  <si>
    <t>transaction0253</t>
  </si>
  <si>
    <t>transaction0254</t>
  </si>
  <si>
    <t>transaction0255</t>
  </si>
  <si>
    <t>Peanut butter</t>
  </si>
  <si>
    <t>transaction0256</t>
  </si>
  <si>
    <t>transaction0257</t>
  </si>
  <si>
    <t>Aster Clothing Co.</t>
  </si>
  <si>
    <t>transaction0258</t>
  </si>
  <si>
    <t>Shredded cheese</t>
  </si>
  <si>
    <t>transaction0259</t>
  </si>
  <si>
    <t>Honey</t>
  </si>
  <si>
    <t>transaction0260</t>
  </si>
  <si>
    <t>transaction0261</t>
  </si>
  <si>
    <t>transaction0262</t>
  </si>
  <si>
    <t>transaction0263</t>
  </si>
  <si>
    <t>Birthday gift for friend - wool scarf</t>
  </si>
  <si>
    <t>transaction0264</t>
  </si>
  <si>
    <t>transaction0265</t>
  </si>
  <si>
    <t>transaction0266</t>
  </si>
  <si>
    <t>Pupuseria Manana</t>
  </si>
  <si>
    <t>Dinner - Salvadoran cuisine</t>
  </si>
  <si>
    <t>transaction0267</t>
  </si>
  <si>
    <t>transaction0268</t>
  </si>
  <si>
    <t>transaction0269</t>
  </si>
  <si>
    <t>transaction0270</t>
  </si>
  <si>
    <t>transaction0271</t>
  </si>
  <si>
    <t>transaction0272</t>
  </si>
  <si>
    <t>transaction0273</t>
  </si>
  <si>
    <t>transaction0274</t>
  </si>
  <si>
    <t>transaction0275</t>
  </si>
  <si>
    <t>transaction0276</t>
  </si>
  <si>
    <t>transaction0277</t>
  </si>
  <si>
    <t>transaction0278</t>
  </si>
  <si>
    <t>Ice cream</t>
  </si>
  <si>
    <t>transaction0279</t>
  </si>
  <si>
    <t>transaction0280</t>
  </si>
  <si>
    <t>transaction0281</t>
  </si>
  <si>
    <t>transaction0282</t>
  </si>
  <si>
    <t>transaction0283</t>
  </si>
  <si>
    <t>Beef striploin steak</t>
  </si>
  <si>
    <t>transaction0284</t>
  </si>
  <si>
    <t>transaction0285</t>
  </si>
  <si>
    <t>Detergent</t>
  </si>
  <si>
    <t>transaction0286</t>
  </si>
  <si>
    <t>transaction0287</t>
  </si>
  <si>
    <t>transaction0288</t>
  </si>
  <si>
    <t>Sour cream</t>
  </si>
  <si>
    <t>transaction0289</t>
  </si>
  <si>
    <t>transaction0290</t>
  </si>
  <si>
    <t>transaction0291</t>
  </si>
  <si>
    <t>Chicken thighs</t>
  </si>
  <si>
    <t>transaction0292</t>
  </si>
  <si>
    <t>Cucumber</t>
  </si>
  <si>
    <t>transaction0293</t>
  </si>
  <si>
    <t>transaction0294</t>
  </si>
  <si>
    <t>transaction0295</t>
  </si>
  <si>
    <t>transaction0296</t>
  </si>
  <si>
    <t>transaction0297</t>
  </si>
  <si>
    <t>transaction0298</t>
  </si>
  <si>
    <t>transaction0299</t>
  </si>
  <si>
    <t>transaction0300</t>
  </si>
  <si>
    <t>transaction0301</t>
  </si>
  <si>
    <t>transaction0302</t>
  </si>
  <si>
    <t>transaction0303</t>
  </si>
  <si>
    <t>transaction0304</t>
  </si>
  <si>
    <t>transaction0305</t>
  </si>
  <si>
    <t>transaction0306</t>
  </si>
  <si>
    <t>transaction0307</t>
  </si>
  <si>
    <t>Ramen Fuji House</t>
  </si>
  <si>
    <t>Dinner - Japanese ramen</t>
  </si>
  <si>
    <t>transaction0308</t>
  </si>
  <si>
    <t>transaction0309</t>
  </si>
  <si>
    <t>transaction0310</t>
  </si>
  <si>
    <t>transaction0311</t>
  </si>
  <si>
    <t>transaction0312</t>
  </si>
  <si>
    <t>transaction0313</t>
  </si>
  <si>
    <t>transaction0314</t>
  </si>
  <si>
    <t>transaction0315</t>
  </si>
  <si>
    <t>transaction0316</t>
  </si>
  <si>
    <t>Fletcher's Archery Supply</t>
  </si>
  <si>
    <t>Recurve bow upgrade</t>
  </si>
  <si>
    <t>transaction0317</t>
  </si>
  <si>
    <t>Dog chew</t>
  </si>
  <si>
    <t>transaction0318</t>
  </si>
  <si>
    <t>transaction0319</t>
  </si>
  <si>
    <t>transaction0320</t>
  </si>
  <si>
    <t>transaction0321</t>
  </si>
  <si>
    <t>transaction0322</t>
  </si>
  <si>
    <t>transaction0323</t>
  </si>
  <si>
    <t>transaction0324</t>
  </si>
  <si>
    <t>Jerk Hut</t>
  </si>
  <si>
    <t>Dinner - Jamaican cuisine</t>
  </si>
  <si>
    <t>transaction0325</t>
  </si>
  <si>
    <t>Easter gift box for host - specialty chocolate</t>
  </si>
  <si>
    <t>transaction0326</t>
  </si>
  <si>
    <t>transaction0327</t>
  </si>
  <si>
    <t>Tortillas</t>
  </si>
  <si>
    <t>transaction0328</t>
  </si>
  <si>
    <t>transaction0329</t>
  </si>
  <si>
    <t>transaction0330</t>
  </si>
  <si>
    <t>Ground beef</t>
  </si>
  <si>
    <t>transaction0331</t>
  </si>
  <si>
    <t>transaction0332</t>
  </si>
  <si>
    <t>transaction0333</t>
  </si>
  <si>
    <t>transaction0334</t>
  </si>
  <si>
    <t>transaction0335</t>
  </si>
  <si>
    <t>transaction0336</t>
  </si>
  <si>
    <t>transaction0337</t>
  </si>
  <si>
    <t>Guitar strings + capo</t>
  </si>
  <si>
    <t>transaction0338</t>
  </si>
  <si>
    <t>transaction0339</t>
  </si>
  <si>
    <t>transaction0340</t>
  </si>
  <si>
    <t>transaction0341</t>
  </si>
  <si>
    <t>transaction0342</t>
  </si>
  <si>
    <t>transaction0343</t>
  </si>
  <si>
    <t>transaction0344</t>
  </si>
  <si>
    <t>transaction0345</t>
  </si>
  <si>
    <t>transaction0346</t>
  </si>
  <si>
    <t>transaction0347</t>
  </si>
  <si>
    <t>transaction0348</t>
  </si>
  <si>
    <t>transaction0349</t>
  </si>
  <si>
    <t>transaction0350</t>
  </si>
  <si>
    <t>transaction0351</t>
  </si>
  <si>
    <t>transaction0352</t>
  </si>
  <si>
    <t>transaction0353</t>
  </si>
  <si>
    <t>transaction0354</t>
  </si>
  <si>
    <t>transaction0355</t>
  </si>
  <si>
    <t>transaction0356</t>
  </si>
  <si>
    <t>transaction0357</t>
  </si>
  <si>
    <t>Lime</t>
  </si>
  <si>
    <t>transaction0358</t>
  </si>
  <si>
    <t>transaction0359</t>
  </si>
  <si>
    <t>Marsala wine</t>
  </si>
  <si>
    <t>transaction0360</t>
  </si>
  <si>
    <t>TechNest Electronics</t>
  </si>
  <si>
    <t>Blender (kitchen equipment)</t>
  </si>
  <si>
    <t>transaction0361</t>
  </si>
  <si>
    <t>Car share - weekend rental to trailhead (28 hrs, 145 km)</t>
  </si>
  <si>
    <t>transaction0362</t>
  </si>
  <si>
    <t>2-person backpacking tent</t>
  </si>
  <si>
    <t>transaction0363</t>
  </si>
  <si>
    <t>transaction0364</t>
  </si>
  <si>
    <t>transaction0365</t>
  </si>
  <si>
    <t>transaction0366</t>
  </si>
  <si>
    <t>transaction0367</t>
  </si>
  <si>
    <t>transaction0368</t>
  </si>
  <si>
    <t>transaction0369</t>
  </si>
  <si>
    <t>transaction0370</t>
  </si>
  <si>
    <t>transaction0371</t>
  </si>
  <si>
    <t>transaction0372</t>
  </si>
  <si>
    <t>transaction0373</t>
  </si>
  <si>
    <t>transaction0374</t>
  </si>
  <si>
    <t>transaction0375</t>
  </si>
  <si>
    <t>transaction0376</t>
  </si>
  <si>
    <t>Housewarming gift for friend - craft beer gift set</t>
  </si>
  <si>
    <t>transaction0377</t>
  </si>
  <si>
    <t>Taverna Greca</t>
  </si>
  <si>
    <t>Dinner - Greek cuisine</t>
  </si>
  <si>
    <t>transaction0378</t>
  </si>
  <si>
    <t>transaction0379</t>
  </si>
  <si>
    <t>transaction0380</t>
  </si>
  <si>
    <t>transaction0381</t>
  </si>
  <si>
    <t>transaction0382</t>
  </si>
  <si>
    <t>transaction0383</t>
  </si>
  <si>
    <t>transaction0384</t>
  </si>
  <si>
    <t>transaction0385</t>
  </si>
  <si>
    <t>transaction0386</t>
  </si>
  <si>
    <t>transaction0387</t>
  </si>
  <si>
    <t>transaction0388</t>
  </si>
  <si>
    <t>transaction0389</t>
  </si>
  <si>
    <t>transaction0390</t>
  </si>
  <si>
    <t>transaction0391</t>
  </si>
  <si>
    <t>transaction0392</t>
  </si>
  <si>
    <t>transaction0393</t>
  </si>
  <si>
    <t>transaction0394</t>
  </si>
  <si>
    <t>All purpose flour</t>
  </si>
  <si>
    <t>transaction0395</t>
  </si>
  <si>
    <t>transaction0396</t>
  </si>
  <si>
    <t>transaction0397</t>
  </si>
  <si>
    <t>transaction0398</t>
  </si>
  <si>
    <t>transaction0399</t>
  </si>
  <si>
    <t>Basil Thai Bistro</t>
  </si>
  <si>
    <t>transaction0400</t>
  </si>
  <si>
    <t>transaction0401</t>
  </si>
  <si>
    <t>transaction0402</t>
  </si>
  <si>
    <t>transaction0403</t>
  </si>
  <si>
    <t>transaction0404</t>
  </si>
  <si>
    <t>Advanced technique class package</t>
  </si>
  <si>
    <t>transaction0405</t>
  </si>
  <si>
    <t>transaction0406</t>
  </si>
  <si>
    <t>transaction0407</t>
  </si>
  <si>
    <t>transaction0408</t>
  </si>
  <si>
    <t>transaction0409</t>
  </si>
  <si>
    <t>transaction0410</t>
  </si>
  <si>
    <t>transaction0411</t>
  </si>
  <si>
    <t>transaction0412</t>
  </si>
  <si>
    <t>transaction0413</t>
  </si>
  <si>
    <t>transaction0414</t>
  </si>
  <si>
    <t>transaction0415</t>
  </si>
  <si>
    <t>Sunscreen SPF 50</t>
  </si>
  <si>
    <t>transaction0416</t>
  </si>
  <si>
    <t>Habibi's Grill</t>
  </si>
  <si>
    <t>Dinner - Lebanese cuisine</t>
  </si>
  <si>
    <t>transaction0417</t>
  </si>
  <si>
    <t>Mother's Day gift - flowers + wine gift set</t>
  </si>
  <si>
    <t>transaction0476</t>
  </si>
  <si>
    <t>Angel Animal Hospital</t>
  </si>
  <si>
    <t>Vet consultation fee</t>
  </si>
  <si>
    <t>transaction0477</t>
  </si>
  <si>
    <t>Vaccines</t>
  </si>
  <si>
    <t>transaction0478</t>
  </si>
  <si>
    <t>Parasites prevention tablets</t>
  </si>
  <si>
    <t>transaction0418</t>
  </si>
  <si>
    <t>transaction0419</t>
  </si>
  <si>
    <t>transaction0420</t>
  </si>
  <si>
    <t>transaction0421</t>
  </si>
  <si>
    <t>transaction0422</t>
  </si>
  <si>
    <t>transaction0423</t>
  </si>
  <si>
    <t>transaction0424</t>
  </si>
  <si>
    <t>transaction0425</t>
  </si>
  <si>
    <t>transaction0426</t>
  </si>
  <si>
    <t>transaction0427</t>
  </si>
  <si>
    <t>Butter</t>
  </si>
  <si>
    <t>transaction0428</t>
  </si>
  <si>
    <t>transaction0429</t>
  </si>
  <si>
    <t>transaction0430</t>
  </si>
  <si>
    <t>Guitar lessons - advanced 8-pack</t>
  </si>
  <si>
    <t>transaction0431</t>
  </si>
  <si>
    <t>transaction0432</t>
  </si>
  <si>
    <t>transaction0433</t>
  </si>
  <si>
    <t>transaction0434</t>
  </si>
  <si>
    <t>transaction0435</t>
  </si>
  <si>
    <t>transaction0436</t>
  </si>
  <si>
    <t>transaction0437</t>
  </si>
  <si>
    <t>transaction0438</t>
  </si>
  <si>
    <t>transaction0439</t>
  </si>
  <si>
    <t>transaction0440</t>
  </si>
  <si>
    <t>transaction0441</t>
  </si>
  <si>
    <t>transaction0442</t>
  </si>
  <si>
    <t>transaction0443</t>
  </si>
  <si>
    <t>transaction0444</t>
  </si>
  <si>
    <t>transaction0445</t>
  </si>
  <si>
    <t>Weekend hiking trip - trail fee + snacks</t>
  </si>
  <si>
    <t>transaction0446</t>
  </si>
  <si>
    <t>Car share - round trip to trailhead (6 hrs, 98 km)</t>
  </si>
  <si>
    <t>transaction0447</t>
  </si>
  <si>
    <t>Trekking poles (pair)</t>
  </si>
  <si>
    <t>transaction0448</t>
  </si>
  <si>
    <t>Birthday gift for Mei - board game</t>
  </si>
  <si>
    <t>transaction0449</t>
  </si>
  <si>
    <t>transaction0450</t>
  </si>
  <si>
    <t>transaction0451</t>
  </si>
  <si>
    <t>transaction0452</t>
  </si>
  <si>
    <t>transaction0453</t>
  </si>
  <si>
    <t>transaction0454</t>
  </si>
  <si>
    <t>transaction0455</t>
  </si>
  <si>
    <t>transaction0456</t>
  </si>
  <si>
    <t>transaction0457</t>
  </si>
  <si>
    <t>transaction0458</t>
  </si>
  <si>
    <t>transaction0459</t>
  </si>
  <si>
    <t>transaction0460</t>
  </si>
  <si>
    <t>transaction0461</t>
  </si>
  <si>
    <t>transaction0462</t>
  </si>
  <si>
    <t>Cantina Del Barrio</t>
  </si>
  <si>
    <t>Dinner - Mexican cuisine</t>
  </si>
  <si>
    <t>transaction0463</t>
  </si>
  <si>
    <t>transaction0464</t>
  </si>
  <si>
    <t>transaction0465</t>
  </si>
  <si>
    <t>transaction0466</t>
  </si>
  <si>
    <t>transaction0467</t>
  </si>
  <si>
    <t>transaction0468</t>
  </si>
  <si>
    <t>transaction0469</t>
  </si>
  <si>
    <t>transaction0470</t>
  </si>
  <si>
    <t>transaction0471</t>
  </si>
  <si>
    <t>transaction0472</t>
  </si>
  <si>
    <t>transaction0473</t>
  </si>
  <si>
    <t>transaction0474</t>
  </si>
  <si>
    <t>transaction0475</t>
  </si>
  <si>
    <t>transaction0479</t>
  </si>
  <si>
    <t>transaction0480</t>
  </si>
  <si>
    <t>transaction0481</t>
  </si>
  <si>
    <t>transaction0482</t>
  </si>
  <si>
    <t>transaction0483</t>
  </si>
  <si>
    <t>transaction0484</t>
  </si>
  <si>
    <t>transaction0485</t>
  </si>
  <si>
    <t>transaction0486</t>
  </si>
  <si>
    <t>transaction0487</t>
  </si>
  <si>
    <t>transaction0488</t>
  </si>
  <si>
    <t>transaction0489</t>
  </si>
  <si>
    <t>transaction0490</t>
  </si>
  <si>
    <t>transaction0491</t>
  </si>
  <si>
    <t>transaction0492</t>
  </si>
  <si>
    <t>transaction0493</t>
  </si>
  <si>
    <t>transaction0494</t>
  </si>
  <si>
    <t>transaction0495</t>
  </si>
  <si>
    <t>transaction0496</t>
  </si>
  <si>
    <t>transaction0497</t>
  </si>
  <si>
    <t>transaction0498</t>
  </si>
  <si>
    <t>transaction0499</t>
  </si>
  <si>
    <t>transaction0500</t>
  </si>
  <si>
    <t>transaction0501</t>
  </si>
  <si>
    <t>Curry Palace</t>
  </si>
  <si>
    <t>transaction0502</t>
  </si>
  <si>
    <t>transaction0503</t>
  </si>
  <si>
    <t>transaction0504</t>
  </si>
  <si>
    <t>transaction0505</t>
  </si>
  <si>
    <t>transaction0506</t>
  </si>
  <si>
    <t>transaction0507</t>
  </si>
  <si>
    <t>transaction0508</t>
  </si>
  <si>
    <t>transaction0509</t>
  </si>
  <si>
    <t>5-class summer archery package</t>
  </si>
  <si>
    <t>transaction0510</t>
  </si>
  <si>
    <t>transaction0511</t>
  </si>
  <si>
    <t>transaction0512</t>
  </si>
  <si>
    <t>transaction0513</t>
  </si>
  <si>
    <t>transaction0514</t>
  </si>
  <si>
    <t>transaction0515</t>
  </si>
  <si>
    <t>Osteria Napoli</t>
  </si>
  <si>
    <t>Dinner - Italian cuisine</t>
  </si>
  <si>
    <t>transaction0516</t>
  </si>
  <si>
    <t>transaction0517</t>
  </si>
  <si>
    <t>transaction0518</t>
  </si>
  <si>
    <t>transaction0519</t>
  </si>
  <si>
    <t>transaction0520</t>
  </si>
  <si>
    <t>transaction0521</t>
  </si>
  <si>
    <t>transaction0522</t>
  </si>
  <si>
    <t>transaction0523</t>
  </si>
  <si>
    <t>transaction0524</t>
  </si>
  <si>
    <t>transaction0525</t>
  </si>
  <si>
    <t>transaction0526</t>
  </si>
  <si>
    <t>transaction0527</t>
  </si>
  <si>
    <t>transaction0528</t>
  </si>
  <si>
    <t>transaction0529</t>
  </si>
  <si>
    <t>Vitamin C tablets</t>
  </si>
  <si>
    <t>transaction0530</t>
  </si>
  <si>
    <t>Sakura Sushi Bar</t>
  </si>
  <si>
    <t>Dinner - Japanese sushi</t>
  </si>
  <si>
    <t>transaction0531</t>
  </si>
  <si>
    <t>Birthday gift for niece - board game</t>
  </si>
  <si>
    <t>transaction0532</t>
  </si>
  <si>
    <t>transaction0533</t>
  </si>
  <si>
    <t>transaction0534</t>
  </si>
  <si>
    <t>transaction0535</t>
  </si>
  <si>
    <t>transaction0536</t>
  </si>
  <si>
    <t>transaction0537</t>
  </si>
  <si>
    <t>transaction0538</t>
  </si>
  <si>
    <t>transaction0539</t>
  </si>
  <si>
    <t>transaction0540</t>
  </si>
  <si>
    <t>Athletic shorts</t>
  </si>
  <si>
    <t>transaction0541</t>
  </si>
  <si>
    <t>Summer dress</t>
  </si>
  <si>
    <t>transaction0542</t>
  </si>
  <si>
    <t>transaction0543</t>
  </si>
  <si>
    <t>transaction0544</t>
  </si>
  <si>
    <t>transaction0545</t>
  </si>
  <si>
    <t>transaction0546</t>
  </si>
  <si>
    <t>transaction0547</t>
  </si>
  <si>
    <t>transaction0548</t>
  </si>
  <si>
    <t>transaction0549</t>
  </si>
  <si>
    <t>transaction0550</t>
  </si>
  <si>
    <t>transaction0551</t>
  </si>
  <si>
    <t>transaction0552</t>
  </si>
  <si>
    <t>transaction0553</t>
  </si>
  <si>
    <t>transaction0554</t>
  </si>
  <si>
    <t>transaction0555</t>
  </si>
  <si>
    <t>transaction0556</t>
  </si>
  <si>
    <t>transaction0557</t>
  </si>
  <si>
    <t>transaction0558</t>
  </si>
  <si>
    <t>transaction0559</t>
  </si>
  <si>
    <t>transaction0560</t>
  </si>
  <si>
    <t>transaction0561</t>
  </si>
  <si>
    <t>transaction0562</t>
  </si>
  <si>
    <t>transaction0563</t>
  </si>
  <si>
    <t>transaction0564</t>
  </si>
  <si>
    <t>transaction0565</t>
  </si>
  <si>
    <t>transaction0566</t>
  </si>
  <si>
    <t>transaction0567</t>
  </si>
  <si>
    <t>transaction0568</t>
  </si>
  <si>
    <t>transaction0569</t>
  </si>
  <si>
    <t>transaction0570</t>
  </si>
  <si>
    <t>transaction0571</t>
  </si>
  <si>
    <t>transaction0572</t>
  </si>
  <si>
    <t>transaction0573</t>
  </si>
  <si>
    <t>transaction0574</t>
  </si>
  <si>
    <t>transaction0575</t>
  </si>
  <si>
    <t>transaction0576</t>
  </si>
  <si>
    <t>transaction0577</t>
  </si>
  <si>
    <t>transaction0578</t>
  </si>
  <si>
    <t>transaction0579</t>
  </si>
  <si>
    <t>transaction0580</t>
  </si>
  <si>
    <t>transaction0581</t>
  </si>
  <si>
    <t>transaction0582</t>
  </si>
  <si>
    <t>transaction0583</t>
  </si>
  <si>
    <t>transaction0584</t>
  </si>
  <si>
    <t>transaction0585</t>
  </si>
  <si>
    <t>transaction0586</t>
  </si>
  <si>
    <t>transaction0587</t>
  </si>
  <si>
    <t>transaction0588</t>
  </si>
  <si>
    <t>transaction0589</t>
  </si>
  <si>
    <t>transaction0590</t>
  </si>
  <si>
    <t>transaction0591</t>
  </si>
  <si>
    <t>transaction0592</t>
  </si>
  <si>
    <t>transaction0593</t>
  </si>
  <si>
    <t>transaction0594</t>
  </si>
  <si>
    <t>transaction0595</t>
  </si>
  <si>
    <t>transaction0596</t>
  </si>
  <si>
    <t>transaction0597</t>
  </si>
  <si>
    <t>transaction0598</t>
  </si>
  <si>
    <t>transaction0599</t>
  </si>
  <si>
    <t>transaction0600</t>
  </si>
  <si>
    <t>Replacement arrows (dozen)</t>
  </si>
  <si>
    <t>transaction0601</t>
  </si>
  <si>
    <t>transaction0602</t>
  </si>
  <si>
    <t>transaction0603</t>
  </si>
  <si>
    <t>transaction0604</t>
  </si>
  <si>
    <t>transaction0605</t>
  </si>
  <si>
    <t>transaction0606</t>
  </si>
  <si>
    <t>transaction0607</t>
  </si>
  <si>
    <t>transaction0608</t>
  </si>
  <si>
    <t>transaction0609</t>
  </si>
  <si>
    <t>transaction0610</t>
  </si>
  <si>
    <t>transaction0611</t>
  </si>
  <si>
    <t>transaction0612</t>
  </si>
  <si>
    <t>transaction0613</t>
  </si>
  <si>
    <t>Replacement guitar strings</t>
  </si>
  <si>
    <t>transaction0614</t>
  </si>
  <si>
    <t>Anniversary dinner</t>
  </si>
  <si>
    <t>transaction0615</t>
  </si>
  <si>
    <t>Car share - weekend rental to campsite (30 hrs, 160 km)</t>
  </si>
  <si>
    <t>transaction0616</t>
  </si>
  <si>
    <t>Summer camping trip - trail + site fee</t>
  </si>
  <si>
    <t>transaction0617</t>
  </si>
  <si>
    <t>Squeaky toy</t>
  </si>
  <si>
    <t>transaction0618</t>
  </si>
  <si>
    <t>transaction0619</t>
  </si>
  <si>
    <t>transaction0620</t>
  </si>
  <si>
    <t>transaction0621</t>
  </si>
  <si>
    <t>transaction0622</t>
  </si>
  <si>
    <t>transaction0623</t>
  </si>
  <si>
    <t>transaction0624</t>
  </si>
  <si>
    <t>transaction0625</t>
  </si>
  <si>
    <t>transaction0626</t>
  </si>
  <si>
    <t>transaction0627</t>
  </si>
  <si>
    <t>transaction0628</t>
  </si>
  <si>
    <t>transaction0629</t>
  </si>
  <si>
    <t>transaction0630</t>
  </si>
  <si>
    <t>transaction0631</t>
  </si>
  <si>
    <t>Sandals</t>
  </si>
  <si>
    <t>transaction0632</t>
  </si>
  <si>
    <t>transaction0633</t>
  </si>
  <si>
    <t>Birthday gift for coworker - craft beer 6-pack</t>
  </si>
  <si>
    <t>transaction0634</t>
  </si>
  <si>
    <t>transaction0635</t>
  </si>
  <si>
    <t>transaction0636</t>
  </si>
  <si>
    <t>transaction0637</t>
  </si>
  <si>
    <t>transaction0638</t>
  </si>
  <si>
    <t>transaction0639</t>
  </si>
  <si>
    <t>transaction0640</t>
  </si>
  <si>
    <t>transaction0641</t>
  </si>
  <si>
    <t>transaction0642</t>
  </si>
  <si>
    <t>transaction0643</t>
  </si>
  <si>
    <t>transaction0644</t>
  </si>
  <si>
    <t>transaction0645</t>
  </si>
  <si>
    <t>transaction0646</t>
  </si>
  <si>
    <t>transaction0647</t>
  </si>
  <si>
    <t>transaction0648</t>
  </si>
  <si>
    <t>transaction0649</t>
  </si>
  <si>
    <t>transaction0650</t>
  </si>
  <si>
    <t>transaction0651</t>
  </si>
  <si>
    <t>transaction0652</t>
  </si>
  <si>
    <t>transaction0653</t>
  </si>
  <si>
    <t>transaction0654</t>
  </si>
  <si>
    <t>transaction0655</t>
  </si>
  <si>
    <t>transaction0656</t>
  </si>
  <si>
    <t>transaction0657</t>
  </si>
  <si>
    <t>transaction0658</t>
  </si>
  <si>
    <t>transaction0659</t>
  </si>
  <si>
    <t>transaction0660</t>
  </si>
  <si>
    <t>transaction0661</t>
  </si>
  <si>
    <t>transaction0662</t>
  </si>
  <si>
    <t>transaction0663</t>
  </si>
  <si>
    <t>transaction0664</t>
  </si>
  <si>
    <t>transaction0665</t>
  </si>
  <si>
    <t>transaction0666</t>
  </si>
  <si>
    <t>transaction0667</t>
  </si>
  <si>
    <t>Open range session pass</t>
  </si>
  <si>
    <t>transaction0668</t>
  </si>
  <si>
    <t>transaction0669</t>
  </si>
  <si>
    <t>transaction0670</t>
  </si>
  <si>
    <t>transaction0671</t>
  </si>
  <si>
    <t>transaction0672</t>
  </si>
  <si>
    <t>transaction0673</t>
  </si>
  <si>
    <t>transaction0674</t>
  </si>
  <si>
    <t>transaction0675</t>
  </si>
  <si>
    <t>transaction0676</t>
  </si>
  <si>
    <t>transaction0677</t>
  </si>
  <si>
    <t>transaction0678</t>
  </si>
  <si>
    <t>Guitar lessons - advanced 4-pack</t>
  </si>
  <si>
    <t>transaction0679</t>
  </si>
  <si>
    <t>transaction0680</t>
  </si>
  <si>
    <t>transaction0681</t>
  </si>
  <si>
    <t>transaction0682</t>
  </si>
  <si>
    <t>transaction0683</t>
  </si>
  <si>
    <t>transaction0684</t>
  </si>
  <si>
    <t>transaction0685</t>
  </si>
  <si>
    <t>transaction0686</t>
  </si>
  <si>
    <t>transaction0687</t>
  </si>
  <si>
    <t>transaction0688</t>
  </si>
  <si>
    <t>transaction0689</t>
  </si>
  <si>
    <t>Camping cookware set</t>
  </si>
  <si>
    <t>transaction0690</t>
  </si>
  <si>
    <t>transaction0691</t>
  </si>
  <si>
    <t>Boarding - long weekend</t>
  </si>
  <si>
    <t>transaction0692</t>
  </si>
  <si>
    <t>transaction0693</t>
  </si>
  <si>
    <t>transaction0694</t>
  </si>
  <si>
    <t>transaction0695</t>
  </si>
  <si>
    <t>transaction0696</t>
  </si>
  <si>
    <t>transaction0697</t>
  </si>
  <si>
    <t>transaction0698</t>
  </si>
  <si>
    <t>transaction0699</t>
  </si>
  <si>
    <t>transaction0700</t>
  </si>
  <si>
    <t>Summer hiking shirt</t>
  </si>
  <si>
    <t>transaction0701</t>
  </si>
  <si>
    <t>transaction0702</t>
  </si>
  <si>
    <t>transaction0703</t>
  </si>
  <si>
    <t>transaction0704</t>
  </si>
  <si>
    <t>transaction0705</t>
  </si>
  <si>
    <t>transaction0706</t>
  </si>
  <si>
    <t>transaction0707</t>
  </si>
  <si>
    <t>transaction0708</t>
  </si>
  <si>
    <t>transaction0709</t>
  </si>
  <si>
    <t>transaction0710</t>
  </si>
  <si>
    <t>transaction0711</t>
  </si>
  <si>
    <t>transaction0712</t>
  </si>
  <si>
    <t>Anniversary gift for Kenji - specialty chocolate box</t>
  </si>
  <si>
    <t>transaction0713</t>
  </si>
  <si>
    <t>transaction0714</t>
  </si>
  <si>
    <t>transaction0715</t>
  </si>
  <si>
    <t>transaction0716</t>
  </si>
  <si>
    <t>transaction0717</t>
  </si>
  <si>
    <t>transaction0718</t>
  </si>
  <si>
    <t>transaction0719</t>
  </si>
  <si>
    <t>transaction0720</t>
  </si>
  <si>
    <t>transaction0721</t>
  </si>
  <si>
    <t>transaction0722</t>
  </si>
  <si>
    <t>transaction0723</t>
  </si>
  <si>
    <t>transaction0724</t>
  </si>
  <si>
    <t>transaction0725</t>
  </si>
  <si>
    <t>transaction0726</t>
  </si>
  <si>
    <t>transaction0727</t>
  </si>
  <si>
    <t>transaction0728</t>
  </si>
  <si>
    <t>transaction0729</t>
  </si>
  <si>
    <t>transaction0730</t>
  </si>
  <si>
    <t>transaction0731</t>
  </si>
  <si>
    <t>transaction0732</t>
  </si>
  <si>
    <t>transaction0733</t>
  </si>
  <si>
    <t>transaction0734</t>
  </si>
  <si>
    <t/>
  </si>
  <si>
    <t>transaction0735</t>
  </si>
  <si>
    <t>transaction0736</t>
  </si>
  <si>
    <t>transaction0737</t>
  </si>
  <si>
    <t>transaction0738</t>
  </si>
  <si>
    <t>transaction0739</t>
  </si>
  <si>
    <t>transaction0740</t>
  </si>
  <si>
    <t>transaction0741</t>
  </si>
  <si>
    <t>transaction0742</t>
  </si>
  <si>
    <t>transaction0743</t>
  </si>
  <si>
    <t>transaction0744</t>
  </si>
  <si>
    <t>transaction0745</t>
  </si>
  <si>
    <t>transaction0746</t>
  </si>
  <si>
    <t>transaction0747</t>
  </si>
  <si>
    <t>transaction0748</t>
  </si>
  <si>
    <t>transaction0749</t>
  </si>
  <si>
    <t>3-class autumn archery package</t>
  </si>
  <si>
    <t>transaction0750</t>
  </si>
  <si>
    <t>transaction0751</t>
  </si>
  <si>
    <t>transaction0752</t>
  </si>
  <si>
    <t>transaction0753</t>
  </si>
  <si>
    <t>transaction0754</t>
  </si>
  <si>
    <t>transaction0755</t>
  </si>
  <si>
    <t>transaction0756</t>
  </si>
  <si>
    <t>transaction0757</t>
  </si>
  <si>
    <t>transaction0758</t>
  </si>
  <si>
    <t>transaction0759</t>
  </si>
  <si>
    <t>transaction0760</t>
  </si>
  <si>
    <t>transaction0761</t>
  </si>
  <si>
    <t>transaction0762</t>
  </si>
  <si>
    <t>transaction0763</t>
  </si>
  <si>
    <t>transaction0764</t>
  </si>
  <si>
    <t>transaction0765</t>
  </si>
  <si>
    <t>transaction0766</t>
  </si>
  <si>
    <t>transaction0767</t>
  </si>
  <si>
    <t>transaction0768</t>
  </si>
  <si>
    <t>transaction0769</t>
  </si>
  <si>
    <t>transaction0770</t>
  </si>
  <si>
    <t>transaction0771</t>
  </si>
  <si>
    <t>transaction0772</t>
  </si>
  <si>
    <t>transaction0773</t>
  </si>
  <si>
    <t>Allergy medication</t>
  </si>
  <si>
    <t>transaction0774</t>
  </si>
  <si>
    <t>transaction0775</t>
  </si>
  <si>
    <t>transaction0776</t>
  </si>
  <si>
    <t>transaction0777</t>
  </si>
  <si>
    <t>transaction0778</t>
  </si>
  <si>
    <t>transaction0779</t>
  </si>
  <si>
    <t>transaction0780</t>
  </si>
  <si>
    <t>transaction0781</t>
  </si>
  <si>
    <t>transaction0782</t>
  </si>
  <si>
    <t>transaction0783</t>
  </si>
  <si>
    <t>transaction0784</t>
  </si>
  <si>
    <t>transaction0785</t>
  </si>
  <si>
    <t>Housewarming gift for friend - bottle of wine</t>
  </si>
  <si>
    <t>transaction0786</t>
  </si>
  <si>
    <t>Running jacket</t>
  </si>
  <si>
    <t>transaction0787</t>
  </si>
  <si>
    <t>transaction0788</t>
  </si>
  <si>
    <t>transaction0789</t>
  </si>
  <si>
    <t>transaction0790</t>
  </si>
  <si>
    <t>transaction0791</t>
  </si>
  <si>
    <t>transaction0792</t>
  </si>
  <si>
    <t>transaction0793</t>
  </si>
  <si>
    <t>Fall cardigan</t>
  </si>
  <si>
    <t>transaction0794</t>
  </si>
  <si>
    <t>transaction0795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</si>
</sst>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mmmm&quot; &quot;yyyy"/>
    <numFmt numFmtId="165" formatCode="[$$]#,##0.00"/>
    <numFmt numFmtId="166" formatCode="#,##0.00;(#,##0.00)"/>
    <numFmt numFmtId="167" formatCode="dd&quot;/&quot;mmm&quot;/&quot;yyyy"/>
    <numFmt numFmtId="168" formatCode="dd&quot;/&quot;mm&quot;/&quot;yyyy"/>
    <numFmt numFmtId="169" formatCode="dd/MM/yyyy"/>
    <numFmt numFmtId="170" formatCode="mmmm&quot; &quot;"/>
    <numFmt numFmtId="171" formatCode="yyyy-MM-dd HH:mm:ss"/>
    <numFmt numFmtId="172" formatCode="yyyy-mm-dd"/>
  </numFmts>
  <fonts count="12">
    <font>
      <sz val="10.0"/>
      <color rgb="FF000000"/>
      <name val="Arial"/>
      <scheme val="minor"/>
    </font>
    <font>
      <b/>
      <color theme="1"/>
      <name val="Arial"/>
      <scheme val="minor"/>
    </font>
    <font>
      <u/>
      <color rgb="FF0000FF"/>
    </font>
    <font>
      <color theme="1"/>
      <name val="Arial"/>
      <scheme val="minor"/>
    </font>
    <font>
      <color rgb="FF434343"/>
      <name val="Arial"/>
      <scheme val="minor"/>
    </font>
    <font>
      <i/>
      <color theme="1"/>
      <name val="Arial"/>
      <scheme val="minor"/>
    </font>
    <font>
      <color theme="1"/>
      <name val="Arial"/>
    </font>
    <font>
      <sz val="10.0"/>
      <color theme="1"/>
      <name val="Arial"/>
      <scheme val="minor"/>
    </font>
    <font>
      <color rgb="FF434343"/>
      <name val="Roboto"/>
    </font>
    <font>
      <color rgb="FFFF0000"/>
      <name val="Roboto"/>
    </font>
    <font>
      <color rgb="FF6AA84F"/>
      <name val="Roboto"/>
    </font>
    <font>
      <color rgb="FFFF0000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FFFFFF"/>
      </bottom>
    </border>
    <border>
      <right style="thin">
        <color rgb="FF3E4791"/>
      </right>
    </border>
  </borders>
  <cellStyleXfs count="1">
    <xf borderId="0" fillId="0" fontId="0" numFmtId="0" applyAlignment="1" applyFont="1"/>
  </cellStyleXfs>
  <cellXfs count="1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2" fontId="1" numFmtId="164" xfId="0" applyAlignment="1" applyFill="1" applyFont="1" applyNumberFormat="1">
      <alignment horizontal="center"/>
    </xf>
    <xf borderId="0" fillId="0" fontId="3" numFmtId="0" xfId="0" applyAlignment="1" applyFont="1">
      <alignment horizontal="center" readingOrder="0"/>
    </xf>
    <xf borderId="0" fillId="3" fontId="1" numFmtId="0" xfId="0" applyAlignment="1" applyFill="1" applyFont="1">
      <alignment readingOrder="0"/>
    </xf>
    <xf borderId="0" fillId="3" fontId="1" numFmtId="164" xfId="0" applyAlignment="1" applyFill="1" applyFont="1" applyNumberFormat="1">
      <alignment horizontal="center"/>
    </xf>
    <xf borderId="0" fillId="4" fontId="3" numFmtId="0" xfId="0" applyAlignment="1" applyFill="1" applyFont="1">
      <alignment readingOrder="0"/>
    </xf>
    <xf borderId="0" fillId="4" fontId="3" numFmtId="165" xfId="0" applyAlignment="1" applyFill="1" applyFont="1" applyNumberFormat="1">
      <alignment horizontal="center" readingOrder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center"/>
    </xf>
    <xf borderId="0" fillId="0" fontId="3" numFmtId="166" xfId="0" applyAlignment="1" applyFont="1" applyNumberFormat="1">
      <alignment readingOrder="0"/>
    </xf>
    <xf borderId="0" fillId="0" fontId="3" numFmtId="165" xfId="0" applyAlignment="1" applyFont="1" applyNumberFormat="1">
      <alignment horizontal="center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readingOrder="0"/>
    </xf>
    <xf borderId="0" fillId="0" fontId="3" numFmtId="165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49" xfId="0" applyAlignment="1" applyFont="1" applyNumberFormat="1">
      <alignment horizontal="left" readingOrder="0" shrinkToFit="0" vertical="center" wrapText="0"/>
    </xf>
    <xf borderId="0" fillId="0" fontId="3" numFmtId="49" xfId="0" applyAlignment="1" applyFont="1" applyNumberFormat="1">
      <alignment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167" xfId="0" applyAlignment="1" applyFont="1" applyNumberFormat="1">
      <alignment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49" xfId="0" applyAlignment="1" applyFont="1" applyNumberForma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wrapText="0"/>
    </xf>
    <xf borderId="0" fillId="5" fontId="3" numFmtId="0" xfId="0" applyAlignment="1" applyFill="1" applyFont="1">
      <alignment readingOrder="0"/>
    </xf>
    <xf borderId="0" fillId="0" fontId="3" numFmtId="0" xfId="0" applyAlignment="1" applyFont="1">
      <alignment readingOrder="0" shrinkToFit="0" vertical="center" wrapText="0"/>
    </xf>
    <xf borderId="0" fillId="5" fontId="3" numFmtId="165" xfId="0" applyAlignment="1" applyFill="1" applyFont="1" applyNumberFormat="1">
      <alignment horizontal="center"/>
    </xf>
    <xf borderId="0" fillId="0" fontId="3" numFmtId="166" xfId="0" applyAlignment="1" applyFont="1" applyNumberFormat="1">
      <alignment readingOrder="0" shrinkToFit="0" vertical="center" wrapText="0"/>
    </xf>
    <xf borderId="0" fillId="0" fontId="3" numFmtId="0" xfId="0" applyFont="1"/>
    <xf borderId="0" fillId="0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shrinkToFit="0" vertical="center" wrapText="0"/>
    </xf>
    <xf borderId="0" fillId="0" fontId="3" numFmtId="166" xfId="0" applyAlignment="1" applyFont="1" applyNumberFormat="1">
      <alignment horizontal="center" readingOrder="0" shrinkToFit="0" vertical="center" wrapText="1"/>
    </xf>
    <xf borderId="0" fillId="0" fontId="3" numFmtId="49" xfId="0" applyAlignment="1" applyFont="1" applyNumberFormat="1">
      <alignment shrinkToFit="0" vertical="center" wrapText="0"/>
    </xf>
    <xf borderId="0" fillId="0" fontId="3" numFmtId="168" xfId="0" applyAlignment="1" applyFont="1" applyNumberFormat="1">
      <alignment readingOrder="0" shrinkToFit="0" vertical="center" wrapText="0"/>
    </xf>
    <xf borderId="0" fillId="0" fontId="3" numFmtId="166" xfId="0" applyAlignment="1" applyFont="1" applyNumberFormat="1">
      <alignment horizontal="center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165" xfId="0" applyAlignment="1" applyFont="1" applyNumberForma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166" xfId="0" applyAlignment="1" applyFont="1" applyNumberForma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5" numFmtId="0" xfId="0" applyAlignment="1" applyFont="1">
      <alignment readingOrder="0"/>
    </xf>
    <xf borderId="0" fillId="0" fontId="3" numFmtId="166" xfId="0" applyAlignment="1" applyFont="1" applyNumberFormat="1">
      <alignment horizontal="center" readingOrder="0" shrinkToFit="0" vertical="center" wrapText="0"/>
    </xf>
    <xf borderId="0" fillId="0" fontId="5" numFmtId="9" xfId="0" applyAlignment="1" applyFont="1" applyNumberFormat="1">
      <alignment horizontal="center" readingOrder="0"/>
    </xf>
    <xf borderId="0" fillId="0" fontId="3" numFmtId="0" xfId="0" applyAlignment="1" applyFont="1">
      <alignment horizontal="left" readingOrder="0" shrinkToFit="0" vertical="center" wrapText="1"/>
    </xf>
    <xf borderId="0" fillId="0" fontId="4" numFmtId="49" xfId="0" applyAlignment="1" applyFont="1" applyNumberFormat="1">
      <alignment readingOrder="0" shrinkToFit="0" vertical="center" wrapText="0"/>
    </xf>
    <xf borderId="0" fillId="0" fontId="3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shrinkToFit="0" vertical="bottom" wrapText="0"/>
    </xf>
    <xf borderId="0" fillId="0" fontId="3" numFmtId="165" xfId="0" applyAlignment="1" applyFont="1" applyNumberFormat="1">
      <alignment readingOrder="0" shrinkToFit="0" vertical="center" wrapText="0"/>
    </xf>
    <xf borderId="0" fillId="0" fontId="3" numFmtId="165" xfId="0" applyAlignment="1" applyFont="1" applyNumberFormat="1">
      <alignment shrinkToFit="0" vertical="center" wrapText="0"/>
    </xf>
    <xf borderId="0" fillId="6" fontId="3" numFmtId="0" xfId="0" applyAlignment="1" applyFill="1" applyFont="1">
      <alignment readingOrder="0"/>
    </xf>
    <xf borderId="0" fillId="0" fontId="3" numFmtId="0" xfId="0" applyAlignment="1" applyFont="1">
      <alignment readingOrder="0" shrinkToFit="0" vertical="center" wrapText="0"/>
    </xf>
    <xf borderId="0" fillId="6" fontId="3" numFmtId="165" xfId="0" applyAlignment="1" applyFill="1" applyFont="1" applyNumberFormat="1">
      <alignment horizontal="center"/>
    </xf>
    <xf borderId="0" fillId="0" fontId="6" numFmtId="0" xfId="0" applyAlignment="1" applyFont="1">
      <alignment readingOrder="0" shrinkToFit="0" vertical="bottom" wrapText="0"/>
    </xf>
    <xf borderId="0" fillId="5" fontId="5" numFmtId="0" xfId="0" applyAlignment="1" applyFill="1" applyFont="1">
      <alignment readingOrder="0"/>
    </xf>
    <xf borderId="0" fillId="5" fontId="5" numFmtId="9" xfId="0" applyAlignment="1" applyFill="1" applyFont="1" applyNumberFormat="1">
      <alignment horizontal="center" readingOrder="0"/>
    </xf>
    <xf borderId="0" fillId="0" fontId="3" numFmtId="0" xfId="0" applyAlignment="1" applyFont="1">
      <alignment horizontal="right"/>
    </xf>
    <xf borderId="0" fillId="0" fontId="3" numFmtId="164" xfId="0" applyAlignment="1" applyFont="1" applyNumberFormat="1">
      <alignment horizontal="right"/>
    </xf>
    <xf borderId="0" fillId="0" fontId="7" numFmtId="0" xfId="0" applyFont="1"/>
    <xf borderId="0" fillId="0" fontId="3" numFmtId="49" xfId="0" applyAlignment="1" applyFont="1" applyNumberForma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0"/>
    </xf>
    <xf borderId="0" fillId="0" fontId="3" numFmtId="169" xfId="0" applyAlignment="1" applyFont="1" applyNumberFormat="1">
      <alignment horizontal="center" readingOrder="0" shrinkToFit="0" vertical="center" wrapText="0"/>
    </xf>
    <xf borderId="0" fillId="0" fontId="3" numFmtId="167" xfId="0" applyAlignment="1" applyFont="1" applyNumberFormat="1">
      <alignment readingOrder="0" shrinkToFit="0" vertical="center" wrapText="1"/>
    </xf>
    <xf borderId="0" fillId="0" fontId="3" numFmtId="49" xfId="0" applyAlignment="1" applyFont="1" applyNumberFormat="1">
      <alignment shrinkToFit="0" vertical="center" wrapText="1"/>
    </xf>
    <xf borderId="0" fillId="0" fontId="3" numFmtId="49" xfId="0" applyAlignment="1" applyFont="1" applyNumberFormat="1">
      <alignment shrinkToFit="0" vertical="center" wrapText="0"/>
    </xf>
    <xf borderId="0" fillId="0" fontId="3" numFmtId="0" xfId="0" applyAlignment="1" applyFont="1">
      <alignment readingOrder="0" shrinkToFit="0" vertical="center" wrapText="1"/>
    </xf>
    <xf borderId="0" fillId="0" fontId="3" numFmtId="165" xfId="0" applyAlignment="1" applyFont="1" applyNumberFormat="1">
      <alignment shrinkToFit="0" vertical="center" wrapText="0"/>
    </xf>
    <xf borderId="0" fillId="0" fontId="3" numFmtId="165" xfId="0" applyAlignment="1" applyFont="1" applyNumberFormat="1">
      <alignment readingOrder="0" shrinkToFit="0" vertical="center" wrapText="1"/>
    </xf>
    <xf borderId="0" fillId="0" fontId="3" numFmtId="0" xfId="0" applyAlignment="1" applyFont="1">
      <alignment shrinkToFit="0" vertical="center" wrapText="0"/>
    </xf>
    <xf borderId="0" fillId="0" fontId="3" numFmtId="170" xfId="0" applyFont="1" applyNumberFormat="1"/>
    <xf borderId="0" fillId="0" fontId="3" numFmtId="49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3" numFmtId="165" xfId="0" applyAlignment="1" applyFont="1" applyNumberFormat="1">
      <alignment horizontal="center" shrinkToFit="0" vertical="center" wrapText="0"/>
    </xf>
    <xf borderId="0" fillId="0" fontId="3" numFmtId="171" xfId="0" applyAlignment="1" applyFont="1" applyNumberFormat="1">
      <alignment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3" numFmtId="49" xfId="0" applyAlignment="1" applyFont="1" applyNumberFormat="1">
      <alignment shrinkToFit="0" vertical="center" wrapText="0"/>
    </xf>
    <xf borderId="0" fillId="0" fontId="3" numFmtId="165" xfId="0" applyAlignment="1" applyFont="1" applyNumberFormat="1">
      <alignment horizontal="center" shrinkToFit="0" vertical="center" wrapText="0"/>
    </xf>
    <xf borderId="0" fillId="0" fontId="3" numFmtId="172" xfId="0" applyAlignment="1" applyFont="1" applyNumberFormat="1">
      <alignment horizontal="center" readingOrder="0"/>
    </xf>
    <xf borderId="0" fillId="0" fontId="3" numFmtId="169" xfId="0" applyAlignment="1" applyFont="1" applyNumberFormat="1">
      <alignment horizontal="center" readingOrder="0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3" numFmtId="167" xfId="0" applyAlignment="1" applyFont="1" applyNumberFormat="1">
      <alignment readingOrder="0" shrinkToFit="0" vertical="center" wrapText="0"/>
    </xf>
    <xf borderId="0" fillId="0" fontId="6" numFmtId="0" xfId="0" applyAlignment="1" applyFont="1">
      <alignment vertical="bottom"/>
    </xf>
    <xf borderId="0" fillId="0" fontId="3" numFmtId="0" xfId="0" applyAlignment="1" applyFont="1">
      <alignment readingOrder="0" shrinkToFit="0" vertical="center" wrapText="0"/>
    </xf>
    <xf borderId="0" fillId="0" fontId="3" numFmtId="9" xfId="0" applyAlignment="1" applyFont="1" applyNumberFormat="1">
      <alignment readingOrder="0" shrinkToFit="0" vertical="center" wrapText="0"/>
    </xf>
    <xf borderId="0" fillId="0" fontId="3" numFmtId="0" xfId="0" applyAlignment="1" applyFont="1">
      <alignment horizontal="right" readingOrder="0" shrinkToFit="0" wrapText="0"/>
    </xf>
    <xf borderId="0" fillId="0" fontId="6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wrapText="0"/>
    </xf>
    <xf borderId="0" fillId="0" fontId="6" numFmtId="0" xfId="0" applyAlignment="1" applyFont="1">
      <alignment shrinkToFit="0" vertical="bottom" wrapText="0"/>
    </xf>
    <xf borderId="0" fillId="0" fontId="6" numFmtId="170" xfId="0" applyAlignment="1" applyFont="1" applyNumberFormat="1">
      <alignment horizontal="left"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1" fillId="0" fontId="3" numFmtId="0" xfId="0" applyAlignment="1" applyBorder="1" applyFont="1">
      <alignment readingOrder="0" shrinkToFit="0" vertical="center" wrapText="0"/>
    </xf>
    <xf borderId="1" fillId="0" fontId="3" numFmtId="49" xfId="0" applyAlignment="1" applyBorder="1" applyFont="1" applyNumberFormat="1">
      <alignment readingOrder="0"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2" fillId="0" fontId="3" numFmtId="49" xfId="0" applyAlignment="1" applyBorder="1" applyFont="1" applyNumberFormat="1">
      <alignment shrinkToFit="0" vertical="center" wrapText="0"/>
    </xf>
    <xf borderId="3" fillId="0" fontId="3" numFmtId="49" xfId="0" applyAlignment="1" applyBorder="1" applyFont="1" applyNumberFormat="1">
      <alignment readingOrder="0" shrinkToFit="0" vertical="center" wrapText="0"/>
    </xf>
    <xf borderId="3" fillId="0" fontId="3" numFmtId="0" xfId="0" applyAlignment="1" applyBorder="1" applyFont="1">
      <alignment readingOrder="0" shrinkToFit="0" vertical="center" wrapText="0"/>
    </xf>
    <xf borderId="3" fillId="0" fontId="3" numFmtId="166" xfId="0" applyAlignment="1" applyBorder="1" applyFont="1" applyNumberFormat="1">
      <alignment readingOrder="0" shrinkToFit="0" vertical="center" wrapText="0"/>
    </xf>
    <xf borderId="3" fillId="0" fontId="3" numFmtId="0" xfId="0" applyAlignment="1" applyBorder="1" applyFont="1">
      <alignment readingOrder="0" shrinkToFit="0" vertical="center" wrapText="0"/>
    </xf>
    <xf borderId="4" fillId="0" fontId="3" numFmtId="49" xfId="0" applyAlignment="1" applyBorder="1" applyFont="1" applyNumberFormat="1">
      <alignment shrinkToFit="0" vertical="center" wrapText="0"/>
    </xf>
    <xf borderId="1" fillId="0" fontId="3" numFmtId="166" xfId="0" applyAlignment="1" applyBorder="1" applyFont="1" applyNumberFormat="1">
      <alignment readingOrder="0" shrinkToFit="0" vertical="center" wrapText="0"/>
    </xf>
    <xf borderId="0" fillId="0" fontId="6" numFmtId="0" xfId="0" applyAlignment="1" applyFont="1">
      <alignment shrinkToFit="0" vertical="bottom" wrapText="0"/>
    </xf>
    <xf borderId="5" fillId="0" fontId="3" numFmtId="49" xfId="0" applyAlignment="1" applyBorder="1" applyFont="1" applyNumberFormat="1">
      <alignment shrinkToFit="0" vertical="center" wrapText="0"/>
    </xf>
    <xf borderId="3" fillId="0" fontId="3" numFmtId="0" xfId="0" applyAlignment="1" applyBorder="1" applyFont="1">
      <alignment shrinkToFit="0" vertical="center" wrapText="0"/>
    </xf>
    <xf borderId="3" fillId="0" fontId="4" numFmtId="0" xfId="0" applyAlignment="1" applyBorder="1" applyFont="1">
      <alignment readingOrder="0" shrinkToFit="0" vertical="center" wrapText="0"/>
    </xf>
    <xf borderId="1" fillId="0" fontId="3" numFmtId="0" xfId="0" applyAlignment="1" applyBorder="1" applyFont="1">
      <alignment shrinkToFit="0" vertical="center" wrapText="0"/>
    </xf>
    <xf borderId="3" fillId="7" fontId="8" numFmtId="0" xfId="0" applyAlignment="1" applyBorder="1" applyFill="1" applyFont="1">
      <alignment shrinkToFit="0" vertical="center" wrapText="0"/>
    </xf>
    <xf borderId="3" fillId="7" fontId="8" numFmtId="49" xfId="0" applyAlignment="1" applyBorder="1" applyFill="1" applyFont="1" applyNumberFormat="1">
      <alignment shrinkToFit="0" vertical="center" wrapText="0"/>
    </xf>
    <xf borderId="0" fillId="7" fontId="6" numFmtId="0" xfId="0" applyAlignment="1" applyFill="1" applyFont="1">
      <alignment shrinkToFit="0" vertical="center" wrapText="0"/>
    </xf>
    <xf borderId="5" fillId="7" fontId="6" numFmtId="49" xfId="0" applyAlignment="1" applyBorder="1" applyFill="1" applyFont="1" applyNumberFormat="1">
      <alignment shrinkToFit="0" vertical="center" wrapText="0"/>
    </xf>
    <xf borderId="3" fillId="8" fontId="8" numFmtId="49" xfId="0" applyAlignment="1" applyBorder="1" applyFill="1" applyFont="1" applyNumberFormat="1">
      <alignment shrinkToFit="0" vertical="center" wrapText="0"/>
    </xf>
    <xf borderId="3" fillId="8" fontId="8" numFmtId="0" xfId="0" applyAlignment="1" applyBorder="1" applyFill="1" applyFont="1">
      <alignment shrinkToFit="0" vertical="center" wrapText="0"/>
    </xf>
    <xf borderId="0" fillId="8" fontId="6" numFmtId="0" xfId="0" applyAlignment="1" applyFill="1" applyFont="1">
      <alignment shrinkToFit="0" vertical="center" wrapText="0"/>
    </xf>
    <xf borderId="5" fillId="8" fontId="6" numFmtId="49" xfId="0" applyAlignment="1" applyBorder="1" applyFill="1" applyFont="1" applyNumberFormat="1">
      <alignment shrinkToFit="0" vertical="center" wrapText="0"/>
    </xf>
    <xf borderId="0" fillId="7" fontId="9" numFmtId="166" xfId="0" applyAlignment="1" applyFill="1" applyFont="1" applyNumberFormat="1">
      <alignment horizontal="right" shrinkToFit="0" vertical="center" wrapText="0"/>
    </xf>
    <xf borderId="3" fillId="8" fontId="10" numFmtId="166" xfId="0" applyAlignment="1" applyBorder="1" applyFill="1" applyFont="1" applyNumberFormat="1">
      <alignment horizontal="right" shrinkToFit="0" vertical="center" wrapText="0"/>
    </xf>
    <xf borderId="3" fillId="8" fontId="6" numFmtId="0" xfId="0" applyAlignment="1" applyBorder="1" applyFill="1" applyFont="1">
      <alignment shrinkToFit="0" vertical="center" wrapText="0"/>
    </xf>
    <xf borderId="4" fillId="8" fontId="6" numFmtId="49" xfId="0" applyAlignment="1" applyBorder="1" applyFill="1" applyFont="1" applyNumberFormat="1">
      <alignment shrinkToFit="0" vertical="center" wrapText="0"/>
    </xf>
    <xf borderId="1" fillId="7" fontId="8" numFmtId="0" xfId="0" applyAlignment="1" applyBorder="1" applyFill="1" applyFont="1">
      <alignment shrinkToFit="0" vertical="center" wrapText="0"/>
    </xf>
    <xf borderId="1" fillId="7" fontId="8" numFmtId="49" xfId="0" applyAlignment="1" applyBorder="1" applyFill="1" applyFont="1" applyNumberFormat="1">
      <alignment shrinkToFit="0" vertical="center" wrapText="0"/>
    </xf>
    <xf borderId="1" fillId="7" fontId="6" numFmtId="0" xfId="0" applyAlignment="1" applyBorder="1" applyFill="1" applyFont="1">
      <alignment shrinkToFit="0" vertical="center" wrapText="0"/>
    </xf>
    <xf borderId="2" fillId="7" fontId="6" numFmtId="49" xfId="0" applyAlignment="1" applyBorder="1" applyFill="1" applyFont="1" applyNumberFormat="1">
      <alignment shrinkToFit="0" vertical="center" wrapText="0"/>
    </xf>
    <xf borderId="3" fillId="8" fontId="8" numFmtId="0" xfId="0" applyAlignment="1" applyBorder="1" applyFill="1" applyFont="1">
      <alignment readingOrder="0" shrinkToFit="0" vertical="center" wrapText="0"/>
    </xf>
    <xf borderId="0" fillId="8" fontId="8" numFmtId="0" xfId="0" applyAlignment="1" applyFill="1" applyFont="1">
      <alignment shrinkToFit="0" vertical="center" wrapText="0"/>
    </xf>
    <xf borderId="0" fillId="8" fontId="8" numFmtId="49" xfId="0" applyAlignment="1" applyFill="1" applyFont="1" applyNumberFormat="1">
      <alignment shrinkToFit="0" vertical="center" wrapText="0"/>
    </xf>
    <xf borderId="0" fillId="8" fontId="8" numFmtId="0" xfId="0" applyAlignment="1" applyFill="1" applyFont="1">
      <alignment readingOrder="0" shrinkToFit="0" vertical="center" wrapText="0"/>
    </xf>
    <xf borderId="0" fillId="8" fontId="8" numFmtId="49" xfId="0" applyAlignment="1" applyFill="1" applyFont="1" applyNumberFormat="1">
      <alignment readingOrder="0" shrinkToFit="0" vertical="center" wrapText="0"/>
    </xf>
    <xf borderId="0" fillId="7" fontId="8" numFmtId="49" xfId="0" applyAlignment="1" applyFill="1" applyFont="1" applyNumberFormat="1">
      <alignment shrinkToFit="0" vertical="center" wrapText="0"/>
    </xf>
    <xf borderId="0" fillId="7" fontId="6" numFmtId="49" xfId="0" applyAlignment="1" applyFill="1" applyFont="1" applyNumberFormat="1">
      <alignment shrinkToFit="0" vertical="center" wrapText="0"/>
    </xf>
    <xf borderId="0" fillId="8" fontId="6" numFmtId="49" xfId="0" applyAlignment="1" applyFill="1" applyFont="1" applyNumberFormat="1">
      <alignment shrinkToFit="0" vertical="center" wrapText="0"/>
    </xf>
    <xf borderId="0" fillId="7" fontId="8" numFmtId="0" xfId="0" applyAlignment="1" applyFill="1" applyFont="1">
      <alignment shrinkToFit="0" vertical="center" wrapText="0"/>
    </xf>
    <xf borderId="0" fillId="8" fontId="10" numFmtId="166" xfId="0" applyAlignment="1" applyFill="1" applyFont="1" applyNumberFormat="1">
      <alignment horizontal="right" shrinkToFit="0" vertical="center" wrapText="0"/>
    </xf>
    <xf borderId="0" fillId="8" fontId="8" numFmtId="0" xfId="0" applyAlignment="1" applyFill="1" applyFont="1">
      <alignment shrinkToFit="0" vertical="center" wrapText="0"/>
    </xf>
    <xf borderId="0" fillId="8" fontId="6" numFmtId="0" xfId="0" applyAlignment="1" applyFill="1" applyFont="1">
      <alignment shrinkToFit="0" vertical="center" wrapText="0"/>
    </xf>
    <xf borderId="0" fillId="7" fontId="6" numFmtId="0" xfId="0" applyAlignment="1" applyFill="1" applyFont="1">
      <alignment shrinkToFit="0" vertical="center" wrapText="0"/>
    </xf>
    <xf borderId="0" fillId="8" fontId="9" numFmtId="166" xfId="0" applyAlignment="1" applyFill="1" applyFont="1" applyNumberFormat="1">
      <alignment horizontal="right" shrinkToFit="0" vertical="center" wrapText="0"/>
    </xf>
    <xf borderId="0" fillId="7" fontId="10" numFmtId="166" xfId="0" applyAlignment="1" applyFill="1" applyFont="1" applyNumberFormat="1">
      <alignment horizontal="right" shrinkToFit="0" vertical="center" wrapText="0"/>
    </xf>
    <xf borderId="0" fillId="7" fontId="8" numFmtId="0" xfId="0" applyAlignment="1" applyFill="1" applyFont="1">
      <alignment readingOrder="0" shrinkToFit="0" vertical="center" wrapText="0"/>
    </xf>
    <xf borderId="0" fillId="7" fontId="8" numFmtId="0" xfId="0" applyAlignment="1" applyFill="1" applyFont="1">
      <alignment shrinkToFit="0" vertical="center" wrapText="0"/>
    </xf>
    <xf borderId="0" fillId="0" fontId="11" numFmtId="166" xfId="0" applyAlignment="1" applyFont="1" applyNumberFormat="1">
      <alignment readingOrder="0" shrinkToFit="0" vertical="center" wrapText="0"/>
    </xf>
    <xf borderId="0" fillId="0" fontId="3" numFmtId="166" xfId="0" applyAlignment="1" applyFont="1" applyNumberFormat="1">
      <alignment shrinkToFit="0" vertical="center" wrapText="0"/>
    </xf>
  </cellXfs>
  <cellStyles count="1">
    <cellStyle xfId="0" name="Normal" builtinId="0"/>
  </cellStyles>
  <dxfs count="11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4A568D"/>
          <bgColor rgb="FF4A568D"/>
        </patternFill>
      </fill>
      <border/>
    </dxf>
    <dxf>
      <font>
        <color rgb="FFFF0000"/>
      </font>
      <fill>
        <patternFill patternType="none"/>
      </fill>
      <border/>
    </dxf>
    <dxf>
      <font>
        <color rgb="FF6AA84F"/>
      </font>
      <fill>
        <patternFill patternType="none"/>
      </fill>
      <border/>
    </dxf>
    <dxf>
      <font/>
      <fill>
        <patternFill patternType="solid">
          <fgColor rgb="FF626E7A"/>
          <bgColor rgb="FF626E7A"/>
        </patternFill>
      </fill>
      <border/>
    </dxf>
  </dxfs>
  <tableStyles count="7">
    <tableStyle count="4" pivot="0" name="Savings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Transactions-style">
      <tableStyleElement dxfId="1" type="headerRow"/>
      <tableStyleElement dxfId="3" type="firstRowStripe"/>
      <tableStyleElement dxfId="4" type="secondRowStripe"/>
      <tableStyleElement dxfId="5" size="0" type="wholeTable"/>
    </tableStyle>
    <tableStyle count="4" pivot="0" name="Savings Details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Accounts-style">
      <tableStyleElement dxfId="6" type="headerRow"/>
      <tableStyleElement dxfId="3" type="firstRowStripe"/>
      <tableStyleElement dxfId="4" type="secondRowStripe"/>
      <tableStyleElement dxfId="5" size="0" type="wholeTable"/>
    </tableStyle>
    <tableStyle count="4" pivot="0" name="Investments-style">
      <tableStyleElement dxfId="7" type="headerRow"/>
      <tableStyleElement dxfId="3" type="firstRowStripe"/>
      <tableStyleElement dxfId="4" type="secondRowStripe"/>
      <tableStyleElement dxfId="5" size="0" type="wholeTable"/>
    </tableStyle>
    <tableStyle count="4" pivot="0" name="Investments Price-style">
      <tableStyleElement dxfId="7" type="headerRow"/>
      <tableStyleElement dxfId="3" type="firstRowStripe"/>
      <tableStyleElement dxfId="4" type="secondRowStripe"/>
      <tableStyleElement dxfId="5" size="0" type="wholeTable"/>
    </tableStyle>
    <tableStyle count="4" pivot="0" name="Retirement-style">
      <tableStyleElement dxfId="10" type="headerRow"/>
      <tableStyleElement dxfId="3" type="firstRowStripe"/>
      <tableStyleElement dxfId="4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796" displayName="Transactions" name="Transactions" id="1">
  <autoFilter ref="$A$1:$K$796"/>
  <tableColumns count="11">
    <tableColumn name="Transaction Id" id="1"/>
    <tableColumn name="Date" id="2"/>
    <tableColumn name="Account" id="3"/>
    <tableColumn name="Where" id="4"/>
    <tableColumn name="Item" id="5"/>
    <tableColumn name="Type" id="6"/>
    <tableColumn name="Category" id="7"/>
    <tableColumn name="Amount" id="8"/>
    <tableColumn name="Qty" id="9"/>
    <tableColumn name="Unit" id="10"/>
    <tableColumn name="Notes" id="11"/>
  </tableColumns>
  <tableStyleInfo name="Transactions-style" showColumnStripes="0" showFirstColumn="1" showLastColumn="1" showRowStripes="1"/>
</table>
</file>

<file path=xl/tables/table2.xml><?xml version="1.0" encoding="utf-8"?>
<table xmlns="http://schemas.openxmlformats.org/spreadsheetml/2006/main" ref="A1:E7" displayName="Savings_Goals" name="Savings_Goals" id="2">
  <tableColumns count="5">
    <tableColumn name="Goal Id" id="1"/>
    <tableColumn name="Goal Name" id="2"/>
    <tableColumn name="Initial Target Date" id="3"/>
    <tableColumn name="Priority" id="4"/>
    <tableColumn name="Actual Date" id="5"/>
  </tableColumns>
  <tableStyleInfo name="Savings-style" showColumnStripes="0" showFirstColumn="1" showLastColumn="1" showRowStripes="1"/>
</table>
</file>

<file path=xl/tables/table3.xml><?xml version="1.0" encoding="utf-8"?>
<table xmlns="http://schemas.openxmlformats.org/spreadsheetml/2006/main" ref="A1:E13" displayName="Savings_Goals_Details" name="Savings_Goals_Details" id="3">
  <tableColumns count="5">
    <tableColumn name="Goal Detail Id" id="1"/>
    <tableColumn name="Account" id="2"/>
    <tableColumn name="Goal Name" id="3"/>
    <tableColumn name="Item" id="4"/>
    <tableColumn name="Amount" id="5"/>
  </tableColumns>
  <tableStyleInfo name="Savings Details-style" showColumnStripes="0" showFirstColumn="1" showLastColumn="1" showRowStripes="1"/>
</table>
</file>

<file path=xl/tables/table4.xml><?xml version="1.0" encoding="utf-8"?>
<table xmlns="http://schemas.openxmlformats.org/spreadsheetml/2006/main" ref="A1:F13" displayName="Accounts" name="Accounts" id="4">
  <tableColumns count="6">
    <tableColumn name="Account Id" id="1"/>
    <tableColumn name="Account" id="2"/>
    <tableColumn name="Beginning Balance" id="3"/>
    <tableColumn name="Current Balance" id="4"/>
    <tableColumn name="Account Type" id="5"/>
    <tableColumn name="Account Category" id="6"/>
  </tableColumns>
  <tableStyleInfo name="Accounts-style" showColumnStripes="0" showFirstColumn="1" showLastColumn="1" showRowStripes="1"/>
</table>
</file>

<file path=xl/tables/table5.xml><?xml version="1.0" encoding="utf-8"?>
<table xmlns="http://schemas.openxmlformats.org/spreadsheetml/2006/main" ref="A1:L59" displayName="Investments" name="Investments" id="5">
  <autoFilter ref="$A$1:$L$59"/>
  <tableColumns count="12">
    <tableColumn name="Investment Transaction Id" id="1"/>
    <tableColumn name="Date" id="2"/>
    <tableColumn name="Account" id="3"/>
    <tableColumn name="Type" id="4"/>
    <tableColumn name="Event" id="5"/>
    <tableColumn name="Ticker" id="6"/>
    <tableColumn name="Investment Name" id="7"/>
    <tableColumn name="Qty" id="8"/>
    <tableColumn name="Price" id="9"/>
    <tableColumn name="Total Value" id="10"/>
    <tableColumn name="Dividends" id="11"/>
    <tableColumn name="Net Qty" id="12"/>
  </tableColumns>
  <tableStyleInfo name="Investments-style" showColumnStripes="0" showFirstColumn="1" showLastColumn="1" showRowStripes="1"/>
</table>
</file>

<file path=xl/tables/table6.xml><?xml version="1.0" encoding="utf-8"?>
<table xmlns="http://schemas.openxmlformats.org/spreadsheetml/2006/main" ref="A1:F17" displayName="Investments_Live_Price" name="Investments_Live_Price" id="6">
  <autoFilter ref="$A$1:$F$17"/>
  <tableColumns count="6">
    <tableColumn name="Investment Price Id" id="1"/>
    <tableColumn name="Ticker" id="2"/>
    <tableColumn name="Investment Name" id="3"/>
    <tableColumn name="Live Price" id="4"/>
    <tableColumn name="Last Trade Time" id="5"/>
    <tableColumn name="Time Delay" id="6"/>
  </tableColumns>
  <tableStyleInfo name="Investments Price-style" showColumnStripes="0" showFirstColumn="1" showLastColumn="1" showRowStripes="1"/>
</table>
</file>

<file path=xl/tables/table7.xml><?xml version="1.0" encoding="utf-8"?>
<table xmlns="http://schemas.openxmlformats.org/spreadsheetml/2006/main" ref="A1:C2" displayName="Retirement" name="Retirement" id="7">
  <tableColumns count="3">
    <tableColumn name="Current Age" id="1"/>
    <tableColumn name="Retirement Age" id="2"/>
    <tableColumn name="Projected Interest Rate" id="3"/>
  </tableColumns>
  <tableStyleInfo name="Retiremen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clayamakita/personal_finances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6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7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5"/>
  </cols>
  <sheetData>
    <row r="2">
      <c r="B2" s="1" t="s">
        <v>0</v>
      </c>
    </row>
    <row r="3">
      <c r="B3" s="3" t="s">
        <v>1</v>
      </c>
    </row>
  </sheetData>
  <hyperlinks>
    <hyperlink r:id="rId1" ref="B3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35FC1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0"/>
    <col customWidth="1" min="2" max="2" width="13.75"/>
    <col customWidth="1" min="3" max="3" width="18.13"/>
    <col customWidth="1" min="4" max="4" width="13.75"/>
    <col customWidth="1" min="5" max="5" width="24.63"/>
    <col customWidth="1" min="6" max="6" width="18.13"/>
    <col customWidth="1" min="7" max="7" width="18.38"/>
    <col customWidth="1" min="8" max="8" width="20.38"/>
    <col customWidth="1" min="9" max="9" width="16.63"/>
    <col customWidth="1" min="10" max="10" width="11.63"/>
    <col customWidth="1" min="11" max="11" width="15.13"/>
    <col customWidth="1" min="12" max="12" width="8.88"/>
    <col customWidth="1" min="13" max="13" width="8.63"/>
    <col customWidth="1" min="14" max="14" width="22.63"/>
  </cols>
  <sheetData>
    <row r="1" ht="22.5" customHeight="1">
      <c r="A1" s="18" t="s">
        <v>13</v>
      </c>
      <c r="B1" s="18" t="s">
        <v>18</v>
      </c>
      <c r="C1" s="20" t="s">
        <v>21</v>
      </c>
      <c r="D1" s="20" t="s">
        <v>23</v>
      </c>
      <c r="E1" s="20" t="s">
        <v>4</v>
      </c>
      <c r="F1" s="23" t="s">
        <v>2</v>
      </c>
      <c r="G1" s="24" t="s">
        <v>3</v>
      </c>
      <c r="H1" s="25" t="s">
        <v>26</v>
      </c>
      <c r="I1" s="26" t="s">
        <v>27</v>
      </c>
      <c r="J1" s="26" t="s">
        <v>29</v>
      </c>
      <c r="K1" s="10" t="s">
        <v>31</v>
      </c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</row>
    <row r="2" ht="22.5" customHeight="1">
      <c r="A2" s="19" t="s">
        <v>32</v>
      </c>
      <c r="B2" s="21">
        <v>46023.0</v>
      </c>
      <c r="C2" s="30" t="s">
        <v>34</v>
      </c>
      <c r="D2" s="27" t="s">
        <v>37</v>
      </c>
      <c r="E2" s="27" t="s">
        <v>9</v>
      </c>
      <c r="F2" s="30" t="s">
        <v>11</v>
      </c>
      <c r="G2" s="30" t="s">
        <v>8</v>
      </c>
      <c r="H2" s="32">
        <v>-2300.0</v>
      </c>
      <c r="I2" s="35"/>
      <c r="J2" s="35"/>
      <c r="K2" s="19" t="s">
        <v>45</v>
      </c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</row>
    <row r="3" ht="22.5" customHeight="1">
      <c r="A3" s="38" t="s">
        <v>53</v>
      </c>
      <c r="B3" s="21">
        <v>46023.0</v>
      </c>
      <c r="C3" s="30" t="s">
        <v>54</v>
      </c>
      <c r="D3" s="41" t="s">
        <v>56</v>
      </c>
      <c r="E3" s="42" t="s">
        <v>33</v>
      </c>
      <c r="F3" s="30" t="s">
        <v>11</v>
      </c>
      <c r="G3" s="30" t="s">
        <v>8</v>
      </c>
      <c r="H3" s="43">
        <v>-24.51</v>
      </c>
      <c r="I3" s="35"/>
      <c r="J3" s="35"/>
      <c r="K3" s="37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</row>
    <row r="4" ht="22.5" customHeight="1">
      <c r="A4" s="38" t="s">
        <v>65</v>
      </c>
      <c r="B4" s="21">
        <v>46024.0</v>
      </c>
      <c r="C4" s="30" t="s">
        <v>34</v>
      </c>
      <c r="D4" s="41" t="s">
        <v>69</v>
      </c>
      <c r="E4" s="42" t="s">
        <v>70</v>
      </c>
      <c r="F4" s="30" t="s">
        <v>6</v>
      </c>
      <c r="G4" s="30" t="s">
        <v>70</v>
      </c>
      <c r="H4" s="32">
        <v>2010.98</v>
      </c>
      <c r="I4" s="35"/>
      <c r="J4" s="35"/>
      <c r="K4" s="37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</row>
    <row r="5" ht="22.5" customHeight="1">
      <c r="A5" s="38" t="s">
        <v>76</v>
      </c>
      <c r="B5" s="21">
        <v>46024.0</v>
      </c>
      <c r="C5" s="30" t="s">
        <v>34</v>
      </c>
      <c r="D5" s="49" t="s">
        <v>78</v>
      </c>
      <c r="E5" s="42" t="s">
        <v>70</v>
      </c>
      <c r="F5" s="30" t="s">
        <v>6</v>
      </c>
      <c r="G5" s="30" t="s">
        <v>70</v>
      </c>
      <c r="H5" s="32">
        <v>1560.23</v>
      </c>
      <c r="I5" s="35"/>
      <c r="J5" s="35"/>
      <c r="K5" s="37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</row>
    <row r="6" ht="22.5" customHeight="1">
      <c r="A6" s="38" t="s">
        <v>90</v>
      </c>
      <c r="B6" s="21">
        <v>46024.0</v>
      </c>
      <c r="C6" s="30" t="s">
        <v>34</v>
      </c>
      <c r="D6" s="19" t="s">
        <v>22</v>
      </c>
      <c r="E6" s="19" t="s">
        <v>22</v>
      </c>
      <c r="F6" s="30" t="s">
        <v>22</v>
      </c>
      <c r="G6" s="30" t="s">
        <v>92</v>
      </c>
      <c r="H6" s="32">
        <v>-500.0</v>
      </c>
      <c r="I6" s="35"/>
      <c r="J6" s="35"/>
      <c r="K6" s="37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</row>
    <row r="7" ht="22.5" customHeight="1">
      <c r="A7" s="38" t="s">
        <v>98</v>
      </c>
      <c r="B7" s="21">
        <v>46024.0</v>
      </c>
      <c r="C7" s="30" t="s">
        <v>102</v>
      </c>
      <c r="D7" s="19" t="s">
        <v>22</v>
      </c>
      <c r="E7" s="19" t="s">
        <v>22</v>
      </c>
      <c r="F7" s="30" t="s">
        <v>103</v>
      </c>
      <c r="G7" s="30" t="s">
        <v>105</v>
      </c>
      <c r="H7" s="32">
        <v>500.0</v>
      </c>
      <c r="I7" s="35"/>
      <c r="J7" s="35"/>
      <c r="K7" s="37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</row>
    <row r="8" ht="22.5" customHeight="1">
      <c r="A8" s="38" t="s">
        <v>113</v>
      </c>
      <c r="B8" s="21">
        <v>46024.0</v>
      </c>
      <c r="C8" s="30" t="s">
        <v>34</v>
      </c>
      <c r="D8" s="19" t="s">
        <v>22</v>
      </c>
      <c r="E8" s="19" t="s">
        <v>22</v>
      </c>
      <c r="F8" s="30" t="s">
        <v>22</v>
      </c>
      <c r="G8" s="30" t="s">
        <v>92</v>
      </c>
      <c r="H8" s="32">
        <v>-500.0</v>
      </c>
      <c r="I8" s="35"/>
      <c r="J8" s="35"/>
      <c r="K8" s="37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</row>
    <row r="9" ht="22.5" customHeight="1">
      <c r="A9" s="38" t="s">
        <v>119</v>
      </c>
      <c r="B9" s="21">
        <v>46024.0</v>
      </c>
      <c r="C9" s="30" t="s">
        <v>121</v>
      </c>
      <c r="D9" s="19" t="s">
        <v>22</v>
      </c>
      <c r="E9" s="19" t="s">
        <v>22</v>
      </c>
      <c r="F9" s="30" t="s">
        <v>103</v>
      </c>
      <c r="G9" s="30" t="s">
        <v>105</v>
      </c>
      <c r="H9" s="32">
        <v>500.0</v>
      </c>
      <c r="I9" s="35"/>
      <c r="J9" s="35"/>
      <c r="K9" s="37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</row>
    <row r="10" ht="22.5" customHeight="1">
      <c r="A10" s="38" t="s">
        <v>125</v>
      </c>
      <c r="B10" s="21">
        <v>46024.0</v>
      </c>
      <c r="C10" s="30" t="s">
        <v>34</v>
      </c>
      <c r="D10" s="19" t="s">
        <v>17</v>
      </c>
      <c r="E10" s="19" t="s">
        <v>17</v>
      </c>
      <c r="F10" s="30" t="s">
        <v>17</v>
      </c>
      <c r="G10" s="30" t="s">
        <v>136</v>
      </c>
      <c r="H10" s="32">
        <v>-1000.0</v>
      </c>
      <c r="I10" s="35"/>
      <c r="J10" s="35"/>
      <c r="K10" s="37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</row>
    <row r="11" ht="22.5" customHeight="1">
      <c r="A11" s="38" t="s">
        <v>143</v>
      </c>
      <c r="B11" s="21">
        <v>46024.0</v>
      </c>
      <c r="C11" s="30" t="s">
        <v>52</v>
      </c>
      <c r="D11" s="19" t="s">
        <v>17</v>
      </c>
      <c r="E11" s="19" t="s">
        <v>17</v>
      </c>
      <c r="F11" s="30" t="s">
        <v>103</v>
      </c>
      <c r="G11" s="30" t="s">
        <v>105</v>
      </c>
      <c r="H11" s="32">
        <v>1000.0</v>
      </c>
      <c r="I11" s="35"/>
      <c r="J11" s="35"/>
      <c r="K11" s="37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</row>
    <row r="12" ht="22.5" customHeight="1">
      <c r="A12" s="38" t="s">
        <v>146</v>
      </c>
      <c r="B12" s="21">
        <v>46024.0</v>
      </c>
      <c r="C12" s="30" t="s">
        <v>54</v>
      </c>
      <c r="D12" s="27" t="s">
        <v>147</v>
      </c>
      <c r="E12" s="27" t="s">
        <v>148</v>
      </c>
      <c r="F12" s="30" t="s">
        <v>11</v>
      </c>
      <c r="G12" s="30" t="s">
        <v>62</v>
      </c>
      <c r="H12" s="32">
        <v>-160.0</v>
      </c>
      <c r="I12" s="35"/>
      <c r="J12" s="35"/>
      <c r="K12" s="37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</row>
    <row r="13" ht="22.5" customHeight="1">
      <c r="A13" s="38" t="s">
        <v>153</v>
      </c>
      <c r="B13" s="21">
        <v>46024.0</v>
      </c>
      <c r="C13" s="30" t="s">
        <v>134</v>
      </c>
      <c r="D13" s="27" t="s">
        <v>147</v>
      </c>
      <c r="E13" s="27" t="s">
        <v>148</v>
      </c>
      <c r="F13" s="30" t="s">
        <v>11</v>
      </c>
      <c r="G13" s="30" t="s">
        <v>62</v>
      </c>
      <c r="H13" s="32">
        <v>-80.0</v>
      </c>
      <c r="I13" s="35"/>
      <c r="J13" s="35"/>
      <c r="K13" s="37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</row>
    <row r="14" ht="22.5" customHeight="1">
      <c r="A14" s="38" t="s">
        <v>156</v>
      </c>
      <c r="B14" s="21">
        <v>46024.0</v>
      </c>
      <c r="C14" s="30" t="s">
        <v>54</v>
      </c>
      <c r="D14" s="19" t="s">
        <v>158</v>
      </c>
      <c r="E14" s="19" t="s">
        <v>159</v>
      </c>
      <c r="F14" s="30" t="s">
        <v>11</v>
      </c>
      <c r="G14" s="30" t="s">
        <v>57</v>
      </c>
      <c r="H14" s="32">
        <v>-156.78</v>
      </c>
      <c r="I14" s="40">
        <v>30.0</v>
      </c>
      <c r="J14" s="40" t="s">
        <v>161</v>
      </c>
      <c r="K14" s="37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</row>
    <row r="15" ht="22.5" customHeight="1">
      <c r="A15" s="38" t="s">
        <v>163</v>
      </c>
      <c r="B15" s="21">
        <v>46024.0</v>
      </c>
      <c r="C15" s="30" t="s">
        <v>54</v>
      </c>
      <c r="D15" s="19" t="s">
        <v>164</v>
      </c>
      <c r="E15" s="19" t="s">
        <v>165</v>
      </c>
      <c r="F15" s="30" t="s">
        <v>11</v>
      </c>
      <c r="G15" s="30" t="s">
        <v>42</v>
      </c>
      <c r="H15" s="32">
        <v>-9.92</v>
      </c>
      <c r="I15" s="40">
        <v>0.946</v>
      </c>
      <c r="J15" s="40" t="s">
        <v>166</v>
      </c>
      <c r="K15" s="37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</row>
    <row r="16" ht="22.5" customHeight="1">
      <c r="A16" s="38" t="s">
        <v>167</v>
      </c>
      <c r="B16" s="21">
        <v>46024.0</v>
      </c>
      <c r="C16" s="30" t="s">
        <v>54</v>
      </c>
      <c r="D16" s="19" t="s">
        <v>164</v>
      </c>
      <c r="E16" s="19" t="s">
        <v>169</v>
      </c>
      <c r="F16" s="30" t="s">
        <v>11</v>
      </c>
      <c r="G16" s="30" t="s">
        <v>42</v>
      </c>
      <c r="H16" s="32">
        <v>-6.0</v>
      </c>
      <c r="I16" s="40">
        <v>2.0</v>
      </c>
      <c r="J16" s="40" t="s">
        <v>170</v>
      </c>
      <c r="K16" s="37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</row>
    <row r="17" ht="22.5" customHeight="1">
      <c r="A17" s="38" t="s">
        <v>179</v>
      </c>
      <c r="B17" s="21">
        <v>46024.0</v>
      </c>
      <c r="C17" s="30" t="s">
        <v>54</v>
      </c>
      <c r="D17" s="19" t="s">
        <v>164</v>
      </c>
      <c r="E17" s="19" t="s">
        <v>180</v>
      </c>
      <c r="F17" s="30" t="s">
        <v>11</v>
      </c>
      <c r="G17" s="30" t="s">
        <v>42</v>
      </c>
      <c r="H17" s="32">
        <v>-7.33</v>
      </c>
      <c r="I17" s="40"/>
      <c r="J17" s="40"/>
      <c r="K17" s="37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</row>
    <row r="18" ht="22.5" customHeight="1">
      <c r="A18" s="38" t="s">
        <v>184</v>
      </c>
      <c r="B18" s="21">
        <v>46024.0</v>
      </c>
      <c r="C18" s="30" t="s">
        <v>54</v>
      </c>
      <c r="D18" s="19" t="s">
        <v>164</v>
      </c>
      <c r="E18" s="19" t="s">
        <v>185</v>
      </c>
      <c r="F18" s="30" t="s">
        <v>11</v>
      </c>
      <c r="G18" s="30" t="s">
        <v>42</v>
      </c>
      <c r="H18" s="32">
        <v>-6.99</v>
      </c>
      <c r="I18" s="40">
        <v>0.75</v>
      </c>
      <c r="J18" s="40" t="s">
        <v>188</v>
      </c>
      <c r="K18" s="37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</row>
    <row r="19" ht="22.5" customHeight="1">
      <c r="A19" s="38" t="s">
        <v>191</v>
      </c>
      <c r="B19" s="21">
        <v>46024.0</v>
      </c>
      <c r="C19" s="30" t="s">
        <v>54</v>
      </c>
      <c r="D19" s="19" t="s">
        <v>164</v>
      </c>
      <c r="E19" s="19" t="s">
        <v>192</v>
      </c>
      <c r="F19" s="30" t="s">
        <v>11</v>
      </c>
      <c r="G19" s="30" t="s">
        <v>42</v>
      </c>
      <c r="H19" s="32">
        <v>-6.98</v>
      </c>
      <c r="I19" s="40">
        <v>0.68</v>
      </c>
      <c r="J19" s="40" t="s">
        <v>188</v>
      </c>
      <c r="K19" s="37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</row>
    <row r="20" ht="22.5" customHeight="1">
      <c r="A20" s="38" t="s">
        <v>197</v>
      </c>
      <c r="B20" s="21">
        <v>46024.0</v>
      </c>
      <c r="C20" s="30" t="s">
        <v>54</v>
      </c>
      <c r="D20" s="19" t="s">
        <v>164</v>
      </c>
      <c r="E20" s="19" t="s">
        <v>200</v>
      </c>
      <c r="F20" s="30" t="s">
        <v>11</v>
      </c>
      <c r="G20" s="30" t="s">
        <v>42</v>
      </c>
      <c r="H20" s="32">
        <v>-1.28</v>
      </c>
      <c r="I20" s="40">
        <v>3.0</v>
      </c>
      <c r="J20" s="40" t="s">
        <v>201</v>
      </c>
      <c r="K20" s="37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</row>
    <row r="21" ht="22.5" customHeight="1">
      <c r="A21" s="38" t="s">
        <v>204</v>
      </c>
      <c r="B21" s="21">
        <v>46025.0</v>
      </c>
      <c r="C21" s="30" t="s">
        <v>54</v>
      </c>
      <c r="D21" s="19" t="s">
        <v>164</v>
      </c>
      <c r="E21" s="19" t="s">
        <v>206</v>
      </c>
      <c r="F21" s="30" t="s">
        <v>11</v>
      </c>
      <c r="G21" s="30" t="s">
        <v>42</v>
      </c>
      <c r="H21" s="32">
        <v>-5.0</v>
      </c>
      <c r="I21" s="40">
        <v>2.0</v>
      </c>
      <c r="J21" s="40" t="s">
        <v>170</v>
      </c>
      <c r="K21" s="37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</row>
    <row r="22" ht="22.5" customHeight="1">
      <c r="A22" s="38" t="s">
        <v>209</v>
      </c>
      <c r="B22" s="21">
        <v>46025.0</v>
      </c>
      <c r="C22" s="30" t="s">
        <v>54</v>
      </c>
      <c r="D22" s="19" t="s">
        <v>164</v>
      </c>
      <c r="E22" s="19" t="s">
        <v>213</v>
      </c>
      <c r="F22" s="30" t="s">
        <v>11</v>
      </c>
      <c r="G22" s="30" t="s">
        <v>42</v>
      </c>
      <c r="H22" s="32">
        <v>-24.12</v>
      </c>
      <c r="I22" s="40">
        <v>0.466</v>
      </c>
      <c r="J22" s="40" t="s">
        <v>188</v>
      </c>
      <c r="K22" s="37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</row>
    <row r="23" ht="22.5" customHeight="1">
      <c r="A23" s="38" t="s">
        <v>214</v>
      </c>
      <c r="B23" s="21">
        <v>46025.0</v>
      </c>
      <c r="C23" s="30" t="s">
        <v>54</v>
      </c>
      <c r="D23" s="19" t="s">
        <v>164</v>
      </c>
      <c r="E23" s="19" t="s">
        <v>218</v>
      </c>
      <c r="F23" s="30" t="s">
        <v>11</v>
      </c>
      <c r="G23" s="30" t="s">
        <v>42</v>
      </c>
      <c r="H23" s="32">
        <v>-6.93</v>
      </c>
      <c r="I23" s="40">
        <v>0.5</v>
      </c>
      <c r="J23" s="40" t="s">
        <v>166</v>
      </c>
      <c r="K23" s="37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</row>
    <row r="24" ht="22.5" customHeight="1">
      <c r="A24" s="38" t="s">
        <v>221</v>
      </c>
      <c r="B24" s="21">
        <v>46025.0</v>
      </c>
      <c r="C24" s="30" t="s">
        <v>54</v>
      </c>
      <c r="D24" s="19" t="s">
        <v>164</v>
      </c>
      <c r="E24" s="19" t="s">
        <v>224</v>
      </c>
      <c r="F24" s="30" t="s">
        <v>11</v>
      </c>
      <c r="G24" s="30" t="s">
        <v>42</v>
      </c>
      <c r="H24" s="32">
        <v>-4.44</v>
      </c>
      <c r="I24" s="40">
        <v>2.0</v>
      </c>
      <c r="J24" s="40" t="s">
        <v>170</v>
      </c>
      <c r="K24" s="37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</row>
    <row r="25" ht="22.5" customHeight="1">
      <c r="A25" s="38" t="s">
        <v>228</v>
      </c>
      <c r="B25" s="21">
        <v>46025.0</v>
      </c>
      <c r="C25" s="30" t="s">
        <v>54</v>
      </c>
      <c r="D25" s="19" t="s">
        <v>164</v>
      </c>
      <c r="E25" s="19" t="s">
        <v>229</v>
      </c>
      <c r="F25" s="30" t="s">
        <v>11</v>
      </c>
      <c r="G25" s="30" t="s">
        <v>42</v>
      </c>
      <c r="H25" s="32">
        <v>-6.12</v>
      </c>
      <c r="I25" s="40"/>
      <c r="J25" s="40"/>
      <c r="K25" s="37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</row>
    <row r="26" ht="22.5" customHeight="1">
      <c r="A26" s="38" t="s">
        <v>234</v>
      </c>
      <c r="B26" s="21">
        <v>46025.0</v>
      </c>
      <c r="C26" s="30" t="s">
        <v>54</v>
      </c>
      <c r="D26" s="19" t="s">
        <v>164</v>
      </c>
      <c r="E26" s="19" t="s">
        <v>237</v>
      </c>
      <c r="F26" s="30" t="s">
        <v>11</v>
      </c>
      <c r="G26" s="30" t="s">
        <v>42</v>
      </c>
      <c r="H26" s="32">
        <v>-5.98</v>
      </c>
      <c r="I26" s="40">
        <v>1.87</v>
      </c>
      <c r="J26" s="40" t="s">
        <v>188</v>
      </c>
      <c r="K26" s="37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</row>
    <row r="27" ht="22.5" customHeight="1">
      <c r="A27" s="38" t="s">
        <v>238</v>
      </c>
      <c r="B27" s="21">
        <v>46025.0</v>
      </c>
      <c r="C27" s="30" t="s">
        <v>54</v>
      </c>
      <c r="D27" s="19" t="s">
        <v>164</v>
      </c>
      <c r="E27" s="19" t="s">
        <v>241</v>
      </c>
      <c r="F27" s="30" t="s">
        <v>11</v>
      </c>
      <c r="G27" s="30" t="s">
        <v>42</v>
      </c>
      <c r="H27" s="32">
        <v>-37.26</v>
      </c>
      <c r="I27" s="40">
        <v>0.722</v>
      </c>
      <c r="J27" s="40" t="s">
        <v>188</v>
      </c>
      <c r="K27" s="37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</row>
    <row r="28" ht="22.5" customHeight="1">
      <c r="A28" s="38" t="s">
        <v>243</v>
      </c>
      <c r="B28" s="21">
        <v>46025.0</v>
      </c>
      <c r="C28" s="30" t="s">
        <v>54</v>
      </c>
      <c r="D28" s="19" t="s">
        <v>164</v>
      </c>
      <c r="E28" s="19" t="s">
        <v>245</v>
      </c>
      <c r="F28" s="30" t="s">
        <v>11</v>
      </c>
      <c r="G28" s="30" t="s">
        <v>42</v>
      </c>
      <c r="H28" s="32">
        <v>-3.59</v>
      </c>
      <c r="I28" s="40">
        <v>1.626</v>
      </c>
      <c r="J28" s="40" t="s">
        <v>188</v>
      </c>
      <c r="K28" s="37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</row>
    <row r="29" ht="22.5" customHeight="1">
      <c r="A29" s="38" t="s">
        <v>246</v>
      </c>
      <c r="B29" s="21">
        <v>46025.0</v>
      </c>
      <c r="C29" s="30" t="s">
        <v>54</v>
      </c>
      <c r="D29" s="19" t="s">
        <v>248</v>
      </c>
      <c r="E29" s="19" t="s">
        <v>249</v>
      </c>
      <c r="F29" s="30" t="s">
        <v>35</v>
      </c>
      <c r="G29" s="30" t="s">
        <v>251</v>
      </c>
      <c r="H29" s="32">
        <v>-52.4</v>
      </c>
      <c r="I29" s="35"/>
      <c r="J29" s="35"/>
      <c r="K29" s="37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</row>
    <row r="30" ht="22.5" customHeight="1">
      <c r="A30" s="38" t="s">
        <v>252</v>
      </c>
      <c r="B30" s="21">
        <v>46026.0</v>
      </c>
      <c r="C30" s="30" t="s">
        <v>54</v>
      </c>
      <c r="D30" s="19" t="s">
        <v>253</v>
      </c>
      <c r="E30" s="19" t="s">
        <v>254</v>
      </c>
      <c r="F30" s="30" t="s">
        <v>11</v>
      </c>
      <c r="G30" s="30" t="s">
        <v>57</v>
      </c>
      <c r="H30" s="32">
        <v>-162.28</v>
      </c>
      <c r="I30" s="40">
        <v>6.0</v>
      </c>
      <c r="J30" s="40" t="s">
        <v>255</v>
      </c>
      <c r="K30" s="37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</row>
    <row r="31" ht="22.5" customHeight="1">
      <c r="A31" s="38" t="s">
        <v>256</v>
      </c>
      <c r="B31" s="21">
        <v>46027.0</v>
      </c>
      <c r="C31" s="30" t="s">
        <v>54</v>
      </c>
      <c r="D31" s="19" t="s">
        <v>258</v>
      </c>
      <c r="E31" s="19" t="s">
        <v>24</v>
      </c>
      <c r="F31" s="30" t="s">
        <v>11</v>
      </c>
      <c r="G31" s="30" t="s">
        <v>8</v>
      </c>
      <c r="H31" s="32">
        <v>-67.2</v>
      </c>
      <c r="I31" s="35"/>
      <c r="J31" s="35"/>
      <c r="K31" s="37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</row>
    <row r="32" ht="22.5" customHeight="1">
      <c r="A32" s="38" t="s">
        <v>262</v>
      </c>
      <c r="B32" s="21">
        <v>46027.0</v>
      </c>
      <c r="C32" s="30" t="s">
        <v>54</v>
      </c>
      <c r="D32" s="19" t="s">
        <v>164</v>
      </c>
      <c r="E32" s="19" t="s">
        <v>263</v>
      </c>
      <c r="F32" s="30" t="s">
        <v>11</v>
      </c>
      <c r="G32" s="30" t="s">
        <v>42</v>
      </c>
      <c r="H32" s="32">
        <v>-17.16</v>
      </c>
      <c r="I32" s="40">
        <v>1.456</v>
      </c>
      <c r="J32" s="40" t="s">
        <v>188</v>
      </c>
      <c r="K32" s="37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</row>
    <row r="33" ht="22.5" customHeight="1">
      <c r="A33" s="38" t="s">
        <v>267</v>
      </c>
      <c r="B33" s="21">
        <v>46027.0</v>
      </c>
      <c r="C33" s="30" t="s">
        <v>54</v>
      </c>
      <c r="D33" s="19" t="s">
        <v>164</v>
      </c>
      <c r="E33" s="19" t="s">
        <v>269</v>
      </c>
      <c r="F33" s="30" t="s">
        <v>11</v>
      </c>
      <c r="G33" s="30" t="s">
        <v>42</v>
      </c>
      <c r="H33" s="32">
        <v>-9.48</v>
      </c>
      <c r="I33" s="40">
        <v>2.0</v>
      </c>
      <c r="J33" s="40" t="s">
        <v>201</v>
      </c>
      <c r="K33" s="37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</row>
    <row r="34" ht="22.5" customHeight="1">
      <c r="A34" s="38" t="s">
        <v>273</v>
      </c>
      <c r="B34" s="21">
        <v>46027.0</v>
      </c>
      <c r="C34" s="30" t="s">
        <v>54</v>
      </c>
      <c r="D34" s="19" t="s">
        <v>164</v>
      </c>
      <c r="E34" s="19" t="s">
        <v>274</v>
      </c>
      <c r="F34" s="30" t="s">
        <v>11</v>
      </c>
      <c r="G34" s="30" t="s">
        <v>42</v>
      </c>
      <c r="H34" s="32">
        <v>-5.88</v>
      </c>
      <c r="I34" s="40">
        <v>0.75</v>
      </c>
      <c r="J34" s="40" t="s">
        <v>166</v>
      </c>
      <c r="K34" s="37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</row>
    <row r="35" ht="22.5" customHeight="1">
      <c r="A35" s="38" t="s">
        <v>291</v>
      </c>
      <c r="B35" s="21">
        <v>46027.0</v>
      </c>
      <c r="C35" s="30" t="s">
        <v>54</v>
      </c>
      <c r="D35" s="19" t="s">
        <v>164</v>
      </c>
      <c r="E35" s="19" t="s">
        <v>296</v>
      </c>
      <c r="F35" s="30" t="s">
        <v>11</v>
      </c>
      <c r="G35" s="30" t="s">
        <v>42</v>
      </c>
      <c r="H35" s="32">
        <v>-13.14</v>
      </c>
      <c r="I35" s="40">
        <v>1.249</v>
      </c>
      <c r="J35" s="40" t="s">
        <v>188</v>
      </c>
      <c r="K35" s="37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</row>
    <row r="36" ht="22.5" customHeight="1">
      <c r="A36" s="38" t="s">
        <v>300</v>
      </c>
      <c r="B36" s="21">
        <v>46027.0</v>
      </c>
      <c r="C36" s="96" t="s">
        <v>54</v>
      </c>
      <c r="D36" s="97" t="s">
        <v>164</v>
      </c>
      <c r="E36" s="97" t="s">
        <v>301</v>
      </c>
      <c r="F36" s="30" t="s">
        <v>11</v>
      </c>
      <c r="G36" s="30" t="s">
        <v>42</v>
      </c>
      <c r="H36" s="32">
        <v>-5.95</v>
      </c>
      <c r="I36" s="98">
        <v>1.0</v>
      </c>
      <c r="J36" s="98" t="s">
        <v>304</v>
      </c>
      <c r="K36" s="99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</row>
    <row r="37" ht="22.5" customHeight="1">
      <c r="A37" s="38" t="s">
        <v>305</v>
      </c>
      <c r="B37" s="21">
        <v>46027.0</v>
      </c>
      <c r="C37" s="30" t="s">
        <v>54</v>
      </c>
      <c r="D37" s="100" t="s">
        <v>164</v>
      </c>
      <c r="E37" s="100" t="s">
        <v>306</v>
      </c>
      <c r="F37" s="101" t="s">
        <v>11</v>
      </c>
      <c r="G37" s="101" t="s">
        <v>42</v>
      </c>
      <c r="H37" s="102">
        <v>-38.31</v>
      </c>
      <c r="I37" s="103">
        <v>0.878</v>
      </c>
      <c r="J37" s="103" t="s">
        <v>188</v>
      </c>
      <c r="K37" s="104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</row>
    <row r="38" ht="22.5" customHeight="1">
      <c r="A38" s="38" t="s">
        <v>308</v>
      </c>
      <c r="B38" s="21">
        <v>46027.0</v>
      </c>
      <c r="C38" s="96" t="s">
        <v>54</v>
      </c>
      <c r="D38" s="97" t="s">
        <v>164</v>
      </c>
      <c r="E38" s="97" t="s">
        <v>309</v>
      </c>
      <c r="F38" s="30" t="s">
        <v>11</v>
      </c>
      <c r="G38" s="30" t="s">
        <v>42</v>
      </c>
      <c r="H38" s="105">
        <v>-4.77</v>
      </c>
      <c r="I38" s="98">
        <v>1.0</v>
      </c>
      <c r="J38" s="98" t="s">
        <v>310</v>
      </c>
      <c r="K38" s="99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</row>
    <row r="39" ht="22.5" customHeight="1">
      <c r="A39" s="38" t="s">
        <v>311</v>
      </c>
      <c r="B39" s="21">
        <v>46027.0</v>
      </c>
      <c r="C39" s="96" t="s">
        <v>54</v>
      </c>
      <c r="D39" s="19" t="s">
        <v>164</v>
      </c>
      <c r="E39" s="19" t="s">
        <v>237</v>
      </c>
      <c r="F39" s="30" t="s">
        <v>11</v>
      </c>
      <c r="G39" s="30" t="s">
        <v>42</v>
      </c>
      <c r="H39" s="32">
        <v>-3.89</v>
      </c>
      <c r="I39" s="40">
        <v>0.417</v>
      </c>
      <c r="J39" s="40" t="s">
        <v>188</v>
      </c>
      <c r="K39" s="107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</row>
    <row r="40" ht="22.5" customHeight="1">
      <c r="A40" s="38" t="s">
        <v>313</v>
      </c>
      <c r="B40" s="21">
        <v>46028.0</v>
      </c>
      <c r="C40" s="96" t="s">
        <v>134</v>
      </c>
      <c r="D40" s="19" t="s">
        <v>314</v>
      </c>
      <c r="E40" s="19" t="s">
        <v>315</v>
      </c>
      <c r="F40" s="30" t="s">
        <v>51</v>
      </c>
      <c r="G40" s="30" t="s">
        <v>283</v>
      </c>
      <c r="H40" s="32">
        <v>-35.0</v>
      </c>
      <c r="I40" s="35"/>
      <c r="J40" s="35"/>
      <c r="K40" s="107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</row>
    <row r="41" ht="22.5" customHeight="1">
      <c r="A41" s="38" t="s">
        <v>316</v>
      </c>
      <c r="B41" s="21">
        <v>46030.0</v>
      </c>
      <c r="C41" s="30" t="s">
        <v>54</v>
      </c>
      <c r="D41" s="100" t="s">
        <v>317</v>
      </c>
      <c r="E41" s="100" t="s">
        <v>318</v>
      </c>
      <c r="F41" s="101" t="s">
        <v>44</v>
      </c>
      <c r="G41" s="101" t="s">
        <v>283</v>
      </c>
      <c r="H41" s="102">
        <v>-40.0</v>
      </c>
      <c r="I41" s="108"/>
      <c r="J41" s="108"/>
      <c r="K41" s="104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</row>
    <row r="42" ht="22.5" customHeight="1">
      <c r="A42" s="38" t="s">
        <v>320</v>
      </c>
      <c r="B42" s="21">
        <v>46031.0</v>
      </c>
      <c r="C42" s="96" t="s">
        <v>34</v>
      </c>
      <c r="D42" s="97" t="s">
        <v>321</v>
      </c>
      <c r="E42" s="97" t="s">
        <v>321</v>
      </c>
      <c r="F42" s="30" t="s">
        <v>103</v>
      </c>
      <c r="G42" s="30" t="s">
        <v>279</v>
      </c>
      <c r="H42" s="102">
        <v>-893.69</v>
      </c>
      <c r="I42" s="98"/>
      <c r="J42" s="98"/>
      <c r="K42" s="99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</row>
    <row r="43" ht="22.5" customHeight="1">
      <c r="A43" s="38" t="s">
        <v>322</v>
      </c>
      <c r="B43" s="21">
        <v>46031.0</v>
      </c>
      <c r="C43" s="101" t="s">
        <v>54</v>
      </c>
      <c r="D43" s="100" t="s">
        <v>321</v>
      </c>
      <c r="E43" s="100" t="s">
        <v>321</v>
      </c>
      <c r="F43" s="101" t="s">
        <v>103</v>
      </c>
      <c r="G43" s="101" t="s">
        <v>105</v>
      </c>
      <c r="H43" s="102">
        <v>893.69</v>
      </c>
      <c r="I43" s="103"/>
      <c r="J43" s="103"/>
      <c r="K43" s="104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</row>
    <row r="44" ht="22.5" customHeight="1">
      <c r="A44" s="38" t="s">
        <v>324</v>
      </c>
      <c r="B44" s="21">
        <v>46032.0</v>
      </c>
      <c r="C44" s="30" t="s">
        <v>54</v>
      </c>
      <c r="D44" s="19" t="s">
        <v>325</v>
      </c>
      <c r="E44" s="19" t="s">
        <v>326</v>
      </c>
      <c r="F44" s="30" t="s">
        <v>35</v>
      </c>
      <c r="G44" s="30" t="s">
        <v>251</v>
      </c>
      <c r="H44" s="32">
        <v>-38.75</v>
      </c>
      <c r="I44" s="35"/>
      <c r="J44" s="35"/>
      <c r="K44" s="37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</row>
    <row r="45" ht="22.5" customHeight="1">
      <c r="A45" s="38" t="s">
        <v>327</v>
      </c>
      <c r="B45" s="21">
        <v>46032.0</v>
      </c>
      <c r="C45" s="30" t="s">
        <v>54</v>
      </c>
      <c r="D45" s="19" t="s">
        <v>328</v>
      </c>
      <c r="E45" s="19" t="s">
        <v>329</v>
      </c>
      <c r="F45" s="30" t="s">
        <v>35</v>
      </c>
      <c r="G45" s="30" t="s">
        <v>277</v>
      </c>
      <c r="H45" s="32">
        <v>-22.5</v>
      </c>
      <c r="I45" s="35"/>
      <c r="J45" s="35"/>
      <c r="K45" s="37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</row>
    <row r="46" ht="22.5" customHeight="1">
      <c r="A46" s="38" t="s">
        <v>330</v>
      </c>
      <c r="B46" s="21">
        <v>46032.0</v>
      </c>
      <c r="C46" s="30" t="s">
        <v>142</v>
      </c>
      <c r="D46" s="19" t="s">
        <v>331</v>
      </c>
      <c r="E46" s="19" t="s">
        <v>285</v>
      </c>
      <c r="F46" s="30" t="s">
        <v>6</v>
      </c>
      <c r="G46" s="30" t="s">
        <v>285</v>
      </c>
      <c r="H46" s="32">
        <v>10.99</v>
      </c>
      <c r="I46" s="35"/>
      <c r="J46" s="35"/>
      <c r="K46" s="37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</row>
    <row r="47" ht="22.5" customHeight="1">
      <c r="A47" s="38" t="s">
        <v>333</v>
      </c>
      <c r="B47" s="21">
        <v>46034.0</v>
      </c>
      <c r="C47" s="30" t="s">
        <v>54</v>
      </c>
      <c r="D47" s="19" t="s">
        <v>334</v>
      </c>
      <c r="E47" s="19" t="s">
        <v>335</v>
      </c>
      <c r="F47" s="30" t="s">
        <v>35</v>
      </c>
      <c r="G47" s="30" t="s">
        <v>294</v>
      </c>
      <c r="H47" s="32">
        <v>-20.04</v>
      </c>
      <c r="I47" s="35"/>
      <c r="J47" s="35"/>
      <c r="K47" s="37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</row>
    <row r="48" ht="22.5" customHeight="1">
      <c r="A48" s="38" t="s">
        <v>336</v>
      </c>
      <c r="B48" s="21">
        <v>46035.0</v>
      </c>
      <c r="C48" s="30" t="s">
        <v>54</v>
      </c>
      <c r="D48" s="19" t="s">
        <v>164</v>
      </c>
      <c r="E48" s="19" t="s">
        <v>337</v>
      </c>
      <c r="F48" s="30" t="s">
        <v>11</v>
      </c>
      <c r="G48" s="30" t="s">
        <v>42</v>
      </c>
      <c r="H48" s="32">
        <v>-3.99</v>
      </c>
      <c r="I48" s="40">
        <v>1.36</v>
      </c>
      <c r="J48" s="40" t="s">
        <v>188</v>
      </c>
      <c r="K48" s="37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</row>
    <row r="49" ht="22.5" customHeight="1">
      <c r="A49" s="38" t="s">
        <v>339</v>
      </c>
      <c r="B49" s="21">
        <v>46035.0</v>
      </c>
      <c r="C49" s="30" t="s">
        <v>34</v>
      </c>
      <c r="D49" s="19" t="s">
        <v>340</v>
      </c>
      <c r="E49" s="19" t="s">
        <v>20</v>
      </c>
      <c r="F49" s="30" t="s">
        <v>11</v>
      </c>
      <c r="G49" s="30" t="s">
        <v>8</v>
      </c>
      <c r="H49" s="32">
        <v>-87.55</v>
      </c>
      <c r="I49" s="35"/>
      <c r="J49" s="35"/>
      <c r="K49" s="37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</row>
    <row r="50" ht="22.5" customHeight="1">
      <c r="A50" s="38" t="s">
        <v>341</v>
      </c>
      <c r="B50" s="21">
        <v>46035.0</v>
      </c>
      <c r="C50" s="96" t="s">
        <v>54</v>
      </c>
      <c r="D50" s="19" t="s">
        <v>164</v>
      </c>
      <c r="E50" s="19" t="s">
        <v>342</v>
      </c>
      <c r="F50" s="30" t="s">
        <v>11</v>
      </c>
      <c r="G50" s="30" t="s">
        <v>42</v>
      </c>
      <c r="H50" s="32">
        <v>-8.44</v>
      </c>
      <c r="I50" s="40">
        <v>24.0</v>
      </c>
      <c r="J50" s="40" t="s">
        <v>343</v>
      </c>
      <c r="K50" s="37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</row>
    <row r="51" ht="22.5" customHeight="1">
      <c r="A51" s="38" t="s">
        <v>345</v>
      </c>
      <c r="B51" s="21">
        <v>46035.0</v>
      </c>
      <c r="C51" s="96" t="s">
        <v>54</v>
      </c>
      <c r="D51" s="19" t="s">
        <v>164</v>
      </c>
      <c r="E51" s="19" t="s">
        <v>346</v>
      </c>
      <c r="F51" s="30" t="s">
        <v>11</v>
      </c>
      <c r="G51" s="30" t="s">
        <v>42</v>
      </c>
      <c r="H51" s="32">
        <v>-5.01</v>
      </c>
      <c r="I51" s="40">
        <v>1.08</v>
      </c>
      <c r="J51" s="40" t="s">
        <v>188</v>
      </c>
      <c r="K51" s="37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</row>
    <row r="52" ht="22.5" customHeight="1">
      <c r="A52" s="38" t="s">
        <v>347</v>
      </c>
      <c r="B52" s="21">
        <v>46035.0</v>
      </c>
      <c r="C52" s="30" t="s">
        <v>54</v>
      </c>
      <c r="D52" s="19" t="s">
        <v>164</v>
      </c>
      <c r="E52" s="19" t="s">
        <v>169</v>
      </c>
      <c r="F52" s="30" t="s">
        <v>11</v>
      </c>
      <c r="G52" s="30" t="s">
        <v>42</v>
      </c>
      <c r="H52" s="32">
        <v>-6.0</v>
      </c>
      <c r="I52" s="40">
        <v>2.0</v>
      </c>
      <c r="J52" s="40" t="s">
        <v>170</v>
      </c>
      <c r="K52" s="37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</row>
    <row r="53" ht="22.5" customHeight="1">
      <c r="A53" s="38" t="s">
        <v>349</v>
      </c>
      <c r="B53" s="21">
        <v>46035.0</v>
      </c>
      <c r="C53" s="30" t="s">
        <v>54</v>
      </c>
      <c r="D53" s="19" t="s">
        <v>164</v>
      </c>
      <c r="E53" s="19" t="s">
        <v>241</v>
      </c>
      <c r="F53" s="30" t="s">
        <v>11</v>
      </c>
      <c r="G53" s="30" t="s">
        <v>42</v>
      </c>
      <c r="H53" s="32">
        <v>-38.38</v>
      </c>
      <c r="I53" s="40">
        <v>0.671</v>
      </c>
      <c r="J53" s="40" t="s">
        <v>188</v>
      </c>
      <c r="K53" s="37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</row>
    <row r="54" ht="22.5" customHeight="1">
      <c r="A54" s="38" t="s">
        <v>350</v>
      </c>
      <c r="B54" s="21">
        <v>46035.0</v>
      </c>
      <c r="C54" s="30" t="s">
        <v>54</v>
      </c>
      <c r="D54" s="19" t="s">
        <v>164</v>
      </c>
      <c r="E54" s="19" t="s">
        <v>301</v>
      </c>
      <c r="F54" s="30" t="s">
        <v>11</v>
      </c>
      <c r="G54" s="30" t="s">
        <v>42</v>
      </c>
      <c r="H54" s="32">
        <v>-4.88</v>
      </c>
      <c r="I54" s="40">
        <v>1.0</v>
      </c>
      <c r="J54" s="40" t="s">
        <v>304</v>
      </c>
      <c r="K54" s="37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</row>
    <row r="55" ht="22.5" customHeight="1">
      <c r="A55" s="38" t="s">
        <v>352</v>
      </c>
      <c r="B55" s="21">
        <v>46035.0</v>
      </c>
      <c r="C55" s="30" t="s">
        <v>54</v>
      </c>
      <c r="D55" s="19" t="s">
        <v>164</v>
      </c>
      <c r="E55" s="19" t="s">
        <v>306</v>
      </c>
      <c r="F55" s="30" t="s">
        <v>11</v>
      </c>
      <c r="G55" s="30" t="s">
        <v>42</v>
      </c>
      <c r="H55" s="32">
        <v>-37.63</v>
      </c>
      <c r="I55" s="40">
        <v>0.976</v>
      </c>
      <c r="J55" s="40" t="s">
        <v>188</v>
      </c>
      <c r="K55" s="37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</row>
    <row r="56" ht="22.5" customHeight="1">
      <c r="A56" s="38" t="s">
        <v>353</v>
      </c>
      <c r="B56" s="21">
        <v>46035.0</v>
      </c>
      <c r="C56" s="30" t="s">
        <v>54</v>
      </c>
      <c r="D56" s="19" t="s">
        <v>164</v>
      </c>
      <c r="E56" s="19" t="s">
        <v>354</v>
      </c>
      <c r="F56" s="30" t="s">
        <v>11</v>
      </c>
      <c r="G56" s="30" t="s">
        <v>42</v>
      </c>
      <c r="H56" s="32">
        <v>-4.29</v>
      </c>
      <c r="I56" s="40">
        <v>12.0</v>
      </c>
      <c r="J56" s="40" t="s">
        <v>355</v>
      </c>
      <c r="K56" s="37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</row>
    <row r="57" ht="22.5" customHeight="1">
      <c r="A57" s="38" t="s">
        <v>357</v>
      </c>
      <c r="B57" s="21">
        <v>46037.0</v>
      </c>
      <c r="C57" s="30" t="s">
        <v>34</v>
      </c>
      <c r="D57" s="41" t="s">
        <v>69</v>
      </c>
      <c r="E57" s="19" t="s">
        <v>70</v>
      </c>
      <c r="F57" s="30" t="s">
        <v>6</v>
      </c>
      <c r="G57" s="30" t="s">
        <v>70</v>
      </c>
      <c r="H57" s="32">
        <v>2010.98</v>
      </c>
      <c r="I57" s="35"/>
      <c r="J57" s="35"/>
      <c r="K57" s="37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</row>
    <row r="58" ht="22.5" customHeight="1">
      <c r="A58" s="38" t="s">
        <v>358</v>
      </c>
      <c r="B58" s="21">
        <v>46037.0</v>
      </c>
      <c r="C58" s="30" t="s">
        <v>34</v>
      </c>
      <c r="D58" s="49" t="s">
        <v>78</v>
      </c>
      <c r="E58" s="42" t="s">
        <v>70</v>
      </c>
      <c r="F58" s="30" t="s">
        <v>6</v>
      </c>
      <c r="G58" s="30" t="s">
        <v>70</v>
      </c>
      <c r="H58" s="32">
        <v>1560.23</v>
      </c>
      <c r="I58" s="35"/>
      <c r="J58" s="35"/>
      <c r="K58" s="37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</row>
    <row r="59" ht="22.5" customHeight="1">
      <c r="A59" s="38" t="s">
        <v>360</v>
      </c>
      <c r="B59" s="21">
        <v>46037.0</v>
      </c>
      <c r="C59" s="30" t="s">
        <v>54</v>
      </c>
      <c r="D59" s="19" t="s">
        <v>361</v>
      </c>
      <c r="E59" s="19" t="s">
        <v>362</v>
      </c>
      <c r="F59" s="30" t="s">
        <v>44</v>
      </c>
      <c r="G59" s="30" t="s">
        <v>271</v>
      </c>
      <c r="H59" s="32">
        <v>-94.99</v>
      </c>
      <c r="I59" s="35"/>
      <c r="J59" s="35"/>
      <c r="K59" s="37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</row>
    <row r="60" ht="22.5" customHeight="1">
      <c r="A60" s="38" t="s">
        <v>363</v>
      </c>
      <c r="B60" s="21">
        <v>46037.0</v>
      </c>
      <c r="C60" s="30" t="s">
        <v>134</v>
      </c>
      <c r="D60" s="19" t="s">
        <v>361</v>
      </c>
      <c r="E60" s="19" t="s">
        <v>364</v>
      </c>
      <c r="F60" s="30" t="s">
        <v>51</v>
      </c>
      <c r="G60" s="30" t="s">
        <v>271</v>
      </c>
      <c r="H60" s="32">
        <v>-150.79</v>
      </c>
      <c r="I60" s="35"/>
      <c r="J60" s="35"/>
      <c r="K60" s="37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</row>
    <row r="61" ht="22.5" customHeight="1">
      <c r="A61" s="38" t="s">
        <v>365</v>
      </c>
      <c r="B61" s="21">
        <v>46037.0</v>
      </c>
      <c r="C61" s="30" t="s">
        <v>54</v>
      </c>
      <c r="D61" s="19" t="s">
        <v>158</v>
      </c>
      <c r="E61" s="19" t="s">
        <v>366</v>
      </c>
      <c r="F61" s="30" t="s">
        <v>61</v>
      </c>
      <c r="G61" s="30" t="s">
        <v>278</v>
      </c>
      <c r="H61" s="32">
        <v>-30.59</v>
      </c>
      <c r="I61" s="35"/>
      <c r="J61" s="35"/>
      <c r="K61" s="37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</row>
    <row r="62" ht="22.5" customHeight="1">
      <c r="A62" s="38" t="s">
        <v>368</v>
      </c>
      <c r="B62" s="21">
        <v>46038.0</v>
      </c>
      <c r="C62" s="30" t="s">
        <v>34</v>
      </c>
      <c r="D62" s="19" t="s">
        <v>321</v>
      </c>
      <c r="E62" s="19" t="s">
        <v>321</v>
      </c>
      <c r="F62" s="30" t="s">
        <v>103</v>
      </c>
      <c r="G62" s="30" t="s">
        <v>279</v>
      </c>
      <c r="H62" s="32">
        <v>-315.49</v>
      </c>
      <c r="I62" s="40"/>
      <c r="J62" s="40"/>
      <c r="K62" s="37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</row>
    <row r="63" ht="22.5" customHeight="1">
      <c r="A63" s="38" t="s">
        <v>369</v>
      </c>
      <c r="B63" s="21">
        <v>46038.0</v>
      </c>
      <c r="C63" s="30" t="s">
        <v>54</v>
      </c>
      <c r="D63" s="19" t="s">
        <v>321</v>
      </c>
      <c r="E63" s="19" t="s">
        <v>321</v>
      </c>
      <c r="F63" s="30" t="s">
        <v>103</v>
      </c>
      <c r="G63" s="30" t="s">
        <v>105</v>
      </c>
      <c r="H63" s="32">
        <v>315.49</v>
      </c>
      <c r="I63" s="40"/>
      <c r="J63" s="40"/>
      <c r="K63" s="37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</row>
    <row r="64" ht="22.5" customHeight="1">
      <c r="A64" s="38" t="s">
        <v>370</v>
      </c>
      <c r="B64" s="21">
        <v>46039.0</v>
      </c>
      <c r="C64" s="30" t="s">
        <v>54</v>
      </c>
      <c r="D64" s="19" t="s">
        <v>371</v>
      </c>
      <c r="E64" s="19" t="s">
        <v>372</v>
      </c>
      <c r="F64" s="30" t="s">
        <v>35</v>
      </c>
      <c r="G64" s="30" t="s">
        <v>251</v>
      </c>
      <c r="H64" s="32">
        <v>-64.9</v>
      </c>
      <c r="I64" s="35"/>
      <c r="J64" s="35"/>
      <c r="K64" s="37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</row>
    <row r="65" ht="22.5" customHeight="1">
      <c r="A65" s="38" t="s">
        <v>374</v>
      </c>
      <c r="B65" s="21">
        <v>46039.0</v>
      </c>
      <c r="C65" s="96" t="s">
        <v>54</v>
      </c>
      <c r="D65" s="100" t="s">
        <v>375</v>
      </c>
      <c r="E65" s="19" t="s">
        <v>376</v>
      </c>
      <c r="F65" s="30" t="s">
        <v>35</v>
      </c>
      <c r="G65" s="30" t="s">
        <v>303</v>
      </c>
      <c r="H65" s="32">
        <v>-220.89</v>
      </c>
      <c r="I65" s="35"/>
      <c r="J65" s="35"/>
      <c r="K65" s="37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</row>
    <row r="66" ht="22.5" customHeight="1">
      <c r="A66" s="38" t="s">
        <v>377</v>
      </c>
      <c r="B66" s="21">
        <v>46039.0</v>
      </c>
      <c r="C66" s="96" t="s">
        <v>54</v>
      </c>
      <c r="D66" s="19" t="s">
        <v>378</v>
      </c>
      <c r="E66" s="19" t="s">
        <v>379</v>
      </c>
      <c r="F66" s="30" t="s">
        <v>35</v>
      </c>
      <c r="G66" s="30" t="s">
        <v>303</v>
      </c>
      <c r="H66" s="32">
        <v>-80.59</v>
      </c>
      <c r="I66" s="35"/>
      <c r="J66" s="35"/>
      <c r="K66" s="37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</row>
    <row r="67" ht="22.5" customHeight="1">
      <c r="A67" s="38" t="s">
        <v>381</v>
      </c>
      <c r="B67" s="21">
        <v>46042.0</v>
      </c>
      <c r="C67" s="30" t="s">
        <v>134</v>
      </c>
      <c r="D67" s="19" t="s">
        <v>382</v>
      </c>
      <c r="E67" s="19" t="s">
        <v>383</v>
      </c>
      <c r="F67" s="30" t="s">
        <v>51</v>
      </c>
      <c r="G67" s="30" t="s">
        <v>271</v>
      </c>
      <c r="H67" s="32">
        <v>-42.5</v>
      </c>
      <c r="I67" s="35"/>
      <c r="J67" s="35"/>
      <c r="K67" s="107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</row>
    <row r="68" ht="22.5" customHeight="1">
      <c r="A68" s="38" t="s">
        <v>384</v>
      </c>
      <c r="B68" s="21">
        <v>46043.0</v>
      </c>
      <c r="C68" s="30" t="s">
        <v>54</v>
      </c>
      <c r="D68" s="100" t="s">
        <v>385</v>
      </c>
      <c r="E68" s="100" t="s">
        <v>386</v>
      </c>
      <c r="F68" s="101" t="s">
        <v>11</v>
      </c>
      <c r="G68" s="101" t="s">
        <v>42</v>
      </c>
      <c r="H68" s="32">
        <v>-5.12</v>
      </c>
      <c r="I68" s="103">
        <v>0.47</v>
      </c>
      <c r="J68" s="103" t="s">
        <v>188</v>
      </c>
      <c r="K68" s="104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</row>
    <row r="69" ht="22.5" customHeight="1">
      <c r="A69" s="38" t="s">
        <v>388</v>
      </c>
      <c r="B69" s="21">
        <v>46043.0</v>
      </c>
      <c r="C69" s="30" t="s">
        <v>54</v>
      </c>
      <c r="D69" s="100" t="s">
        <v>385</v>
      </c>
      <c r="E69" s="19" t="s">
        <v>389</v>
      </c>
      <c r="F69" s="30" t="s">
        <v>11</v>
      </c>
      <c r="G69" s="30" t="s">
        <v>42</v>
      </c>
      <c r="H69" s="32">
        <v>-1.56</v>
      </c>
      <c r="I69" s="40">
        <v>3.0</v>
      </c>
      <c r="J69" s="40" t="s">
        <v>310</v>
      </c>
      <c r="K69" s="10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</row>
    <row r="70" ht="22.5" customHeight="1">
      <c r="A70" s="38" t="s">
        <v>390</v>
      </c>
      <c r="B70" s="21">
        <v>46043.0</v>
      </c>
      <c r="C70" s="96" t="s">
        <v>54</v>
      </c>
      <c r="D70" s="97" t="s">
        <v>385</v>
      </c>
      <c r="E70" s="97" t="s">
        <v>391</v>
      </c>
      <c r="F70" s="30" t="s">
        <v>11</v>
      </c>
      <c r="G70" s="30" t="s">
        <v>48</v>
      </c>
      <c r="H70" s="32">
        <f>-1.49-0.22-0.1</f>
        <v>-1.81</v>
      </c>
      <c r="I70" s="98">
        <v>0.34</v>
      </c>
      <c r="J70" s="98" t="s">
        <v>166</v>
      </c>
      <c r="K70" s="99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</row>
    <row r="71" ht="22.5" customHeight="1">
      <c r="A71" s="38" t="s">
        <v>393</v>
      </c>
      <c r="B71" s="21">
        <v>46043.0</v>
      </c>
      <c r="C71" s="30" t="s">
        <v>54</v>
      </c>
      <c r="D71" s="100" t="s">
        <v>385</v>
      </c>
      <c r="E71" s="100" t="s">
        <v>394</v>
      </c>
      <c r="F71" s="101" t="s">
        <v>11</v>
      </c>
      <c r="G71" s="101" t="s">
        <v>42</v>
      </c>
      <c r="H71" s="102">
        <v>-6.59</v>
      </c>
      <c r="I71" s="103">
        <v>1.693</v>
      </c>
      <c r="J71" s="103" t="s">
        <v>188</v>
      </c>
      <c r="K71" s="104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</row>
    <row r="72" ht="22.5" customHeight="1">
      <c r="A72" s="38" t="s">
        <v>396</v>
      </c>
      <c r="B72" s="21">
        <v>46043.0</v>
      </c>
      <c r="C72" s="96" t="s">
        <v>54</v>
      </c>
      <c r="D72" s="97" t="s">
        <v>385</v>
      </c>
      <c r="E72" s="97" t="s">
        <v>301</v>
      </c>
      <c r="F72" s="30" t="s">
        <v>11</v>
      </c>
      <c r="G72" s="30" t="s">
        <v>42</v>
      </c>
      <c r="H72" s="105">
        <v>-6.12</v>
      </c>
      <c r="I72" s="98">
        <v>1.0</v>
      </c>
      <c r="J72" s="98" t="s">
        <v>304</v>
      </c>
      <c r="K72" s="99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</row>
    <row r="73" ht="22.5" customHeight="1">
      <c r="A73" s="38" t="s">
        <v>397</v>
      </c>
      <c r="B73" s="21">
        <v>46043.0</v>
      </c>
      <c r="C73" s="30" t="s">
        <v>54</v>
      </c>
      <c r="D73" s="97" t="s">
        <v>385</v>
      </c>
      <c r="E73" s="100" t="s">
        <v>398</v>
      </c>
      <c r="F73" s="101" t="s">
        <v>11</v>
      </c>
      <c r="G73" s="101" t="s">
        <v>42</v>
      </c>
      <c r="H73" s="102">
        <v>-2.48</v>
      </c>
      <c r="I73" s="103">
        <v>2.0</v>
      </c>
      <c r="J73" s="103" t="s">
        <v>399</v>
      </c>
      <c r="K73" s="104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</row>
    <row r="74" ht="22.5" customHeight="1">
      <c r="A74" s="38" t="s">
        <v>401</v>
      </c>
      <c r="B74" s="21">
        <v>46043.0</v>
      </c>
      <c r="C74" s="96" t="s">
        <v>54</v>
      </c>
      <c r="D74" s="97" t="s">
        <v>385</v>
      </c>
      <c r="E74" s="19" t="s">
        <v>402</v>
      </c>
      <c r="F74" s="30" t="s">
        <v>11</v>
      </c>
      <c r="G74" s="30" t="s">
        <v>42</v>
      </c>
      <c r="H74" s="32">
        <v>-6.46</v>
      </c>
      <c r="I74" s="40">
        <v>2.0</v>
      </c>
      <c r="J74" s="40" t="s">
        <v>343</v>
      </c>
      <c r="K74" s="107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</row>
    <row r="75" ht="22.5" customHeight="1">
      <c r="A75" s="38" t="s">
        <v>403</v>
      </c>
      <c r="B75" s="21">
        <v>46043.0</v>
      </c>
      <c r="C75" s="96" t="s">
        <v>54</v>
      </c>
      <c r="D75" s="19" t="s">
        <v>385</v>
      </c>
      <c r="E75" s="19" t="s">
        <v>404</v>
      </c>
      <c r="F75" s="30" t="s">
        <v>11</v>
      </c>
      <c r="G75" s="30" t="s">
        <v>42</v>
      </c>
      <c r="H75" s="32">
        <v>-5.47</v>
      </c>
      <c r="I75" s="40">
        <v>0.5</v>
      </c>
      <c r="J75" s="40" t="s">
        <v>166</v>
      </c>
      <c r="K75" s="107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</row>
    <row r="76" ht="22.5" customHeight="1">
      <c r="A76" s="38" t="s">
        <v>405</v>
      </c>
      <c r="B76" s="21">
        <v>46043.0</v>
      </c>
      <c r="C76" s="30" t="s">
        <v>54</v>
      </c>
      <c r="D76" s="97" t="s">
        <v>385</v>
      </c>
      <c r="E76" s="97" t="s">
        <v>407</v>
      </c>
      <c r="F76" s="30" t="s">
        <v>11</v>
      </c>
      <c r="G76" s="30" t="s">
        <v>48</v>
      </c>
      <c r="H76" s="32">
        <f>-4.97-0.6</f>
        <v>-5.57</v>
      </c>
      <c r="I76" s="98">
        <v>0.65</v>
      </c>
      <c r="J76" s="98" t="s">
        <v>166</v>
      </c>
      <c r="K76" s="99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</row>
    <row r="77" ht="22.5" customHeight="1">
      <c r="A77" s="38" t="s">
        <v>408</v>
      </c>
      <c r="B77" s="21">
        <v>46043.0</v>
      </c>
      <c r="C77" s="30" t="s">
        <v>54</v>
      </c>
      <c r="D77" s="100" t="s">
        <v>385</v>
      </c>
      <c r="E77" s="100" t="s">
        <v>409</v>
      </c>
      <c r="F77" s="101" t="s">
        <v>11</v>
      </c>
      <c r="G77" s="101" t="s">
        <v>48</v>
      </c>
      <c r="H77" s="102">
        <f>-8.47-1.01</f>
        <v>-9.48</v>
      </c>
      <c r="I77" s="103">
        <v>0.828</v>
      </c>
      <c r="J77" s="103" t="s">
        <v>166</v>
      </c>
      <c r="K77" s="104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</row>
    <row r="78" ht="22.5" customHeight="1">
      <c r="A78" s="38" t="s">
        <v>410</v>
      </c>
      <c r="B78" s="21">
        <v>46043.0</v>
      </c>
      <c r="C78" s="30" t="s">
        <v>54</v>
      </c>
      <c r="D78" s="19" t="s">
        <v>385</v>
      </c>
      <c r="E78" s="19" t="s">
        <v>411</v>
      </c>
      <c r="F78" s="30" t="s">
        <v>11</v>
      </c>
      <c r="G78" s="30" t="s">
        <v>48</v>
      </c>
      <c r="H78" s="32">
        <f>-7.98-0.96</f>
        <v>-8.94</v>
      </c>
      <c r="I78" s="40">
        <v>0.625</v>
      </c>
      <c r="J78" s="40" t="s">
        <v>166</v>
      </c>
      <c r="K78" s="37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</row>
    <row r="79" ht="22.5" customHeight="1">
      <c r="A79" s="38" t="s">
        <v>413</v>
      </c>
      <c r="B79" s="21">
        <v>46043.0</v>
      </c>
      <c r="C79" s="30" t="s">
        <v>54</v>
      </c>
      <c r="D79" s="19" t="s">
        <v>385</v>
      </c>
      <c r="E79" s="19" t="s">
        <v>414</v>
      </c>
      <c r="F79" s="30" t="s">
        <v>11</v>
      </c>
      <c r="G79" s="30" t="s">
        <v>42</v>
      </c>
      <c r="H79" s="32">
        <v>-7.97</v>
      </c>
      <c r="I79" s="40">
        <v>4.54</v>
      </c>
      <c r="J79" s="40" t="s">
        <v>188</v>
      </c>
      <c r="K79" s="37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</row>
    <row r="80" ht="22.5" customHeight="1">
      <c r="A80" s="38" t="s">
        <v>415</v>
      </c>
      <c r="B80" s="21">
        <v>46045.0</v>
      </c>
      <c r="C80" s="30" t="s">
        <v>34</v>
      </c>
      <c r="D80" s="19" t="s">
        <v>321</v>
      </c>
      <c r="E80" s="19" t="s">
        <v>321</v>
      </c>
      <c r="F80" s="30" t="s">
        <v>103</v>
      </c>
      <c r="G80" s="30" t="s">
        <v>279</v>
      </c>
      <c r="H80" s="32">
        <v>-433.95</v>
      </c>
      <c r="I80" s="40"/>
      <c r="J80" s="40"/>
      <c r="K80" s="37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</row>
    <row r="81" ht="22.5" customHeight="1">
      <c r="A81" s="38" t="s">
        <v>417</v>
      </c>
      <c r="B81" s="21">
        <v>46045.0</v>
      </c>
      <c r="C81" s="30" t="s">
        <v>54</v>
      </c>
      <c r="D81" s="19" t="s">
        <v>321</v>
      </c>
      <c r="E81" s="19" t="s">
        <v>321</v>
      </c>
      <c r="F81" s="30" t="s">
        <v>103</v>
      </c>
      <c r="G81" s="30" t="s">
        <v>105</v>
      </c>
      <c r="H81" s="32">
        <v>433.95</v>
      </c>
      <c r="I81" s="40"/>
      <c r="J81" s="40"/>
      <c r="K81" s="37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</row>
    <row r="82" ht="22.5" customHeight="1">
      <c r="A82" s="38" t="s">
        <v>418</v>
      </c>
      <c r="B82" s="21">
        <v>46045.0</v>
      </c>
      <c r="C82" s="30" t="s">
        <v>134</v>
      </c>
      <c r="D82" s="19" t="s">
        <v>419</v>
      </c>
      <c r="E82" s="19" t="s">
        <v>15</v>
      </c>
      <c r="F82" s="30" t="s">
        <v>11</v>
      </c>
      <c r="G82" s="30" t="s">
        <v>8</v>
      </c>
      <c r="H82" s="32">
        <v>-145.6</v>
      </c>
      <c r="I82" s="40"/>
      <c r="J82" s="40"/>
      <c r="K82" s="37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</row>
    <row r="83" ht="22.5" customHeight="1">
      <c r="A83" s="38" t="s">
        <v>421</v>
      </c>
      <c r="B83" s="21">
        <v>46046.0</v>
      </c>
      <c r="C83" s="30" t="s">
        <v>54</v>
      </c>
      <c r="D83" s="19" t="s">
        <v>422</v>
      </c>
      <c r="E83" s="19" t="s">
        <v>423</v>
      </c>
      <c r="F83" s="30" t="s">
        <v>35</v>
      </c>
      <c r="G83" s="30" t="s">
        <v>251</v>
      </c>
      <c r="H83" s="32">
        <v>-71.2</v>
      </c>
      <c r="I83" s="35"/>
      <c r="J83" s="35"/>
      <c r="K83" s="37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</row>
    <row r="84" ht="22.5" customHeight="1">
      <c r="A84" s="38" t="s">
        <v>424</v>
      </c>
      <c r="B84" s="21">
        <v>46046.0</v>
      </c>
      <c r="C84" s="30" t="s">
        <v>54</v>
      </c>
      <c r="D84" s="19" t="s">
        <v>425</v>
      </c>
      <c r="E84" s="19" t="s">
        <v>426</v>
      </c>
      <c r="F84" s="30" t="s">
        <v>44</v>
      </c>
      <c r="G84" s="30" t="s">
        <v>277</v>
      </c>
      <c r="H84" s="32">
        <v>-18.75</v>
      </c>
      <c r="I84" s="35"/>
      <c r="J84" s="35"/>
      <c r="K84" s="37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</row>
    <row r="85" ht="22.5" customHeight="1">
      <c r="A85" s="38" t="s">
        <v>428</v>
      </c>
      <c r="B85" s="21">
        <v>46051.0</v>
      </c>
      <c r="C85" s="30" t="s">
        <v>54</v>
      </c>
      <c r="D85" s="19" t="s">
        <v>429</v>
      </c>
      <c r="E85" s="19" t="s">
        <v>335</v>
      </c>
      <c r="F85" s="30" t="s">
        <v>35</v>
      </c>
      <c r="G85" s="30" t="s">
        <v>294</v>
      </c>
      <c r="H85" s="32">
        <v>-4.47</v>
      </c>
      <c r="I85" s="35"/>
      <c r="J85" s="35"/>
      <c r="K85" s="37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</row>
    <row r="86" ht="22.5" customHeight="1">
      <c r="A86" s="38" t="s">
        <v>430</v>
      </c>
      <c r="B86" s="21">
        <v>46052.0</v>
      </c>
      <c r="C86" s="30" t="s">
        <v>34</v>
      </c>
      <c r="D86" s="19" t="s">
        <v>321</v>
      </c>
      <c r="E86" s="19" t="s">
        <v>321</v>
      </c>
      <c r="F86" s="30" t="s">
        <v>103</v>
      </c>
      <c r="G86" s="30" t="s">
        <v>279</v>
      </c>
      <c r="H86" s="32">
        <v>-94.42</v>
      </c>
      <c r="I86" s="35"/>
      <c r="J86" s="35"/>
      <c r="K86" s="37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</row>
    <row r="87" ht="22.5" customHeight="1">
      <c r="A87" s="38" t="s">
        <v>432</v>
      </c>
      <c r="B87" s="21">
        <v>46052.0</v>
      </c>
      <c r="C87" s="30" t="s">
        <v>54</v>
      </c>
      <c r="D87" s="19" t="s">
        <v>321</v>
      </c>
      <c r="E87" s="19" t="s">
        <v>321</v>
      </c>
      <c r="F87" s="30" t="s">
        <v>103</v>
      </c>
      <c r="G87" s="30" t="s">
        <v>105</v>
      </c>
      <c r="H87" s="32">
        <v>94.42</v>
      </c>
      <c r="I87" s="35"/>
      <c r="J87" s="35"/>
      <c r="K87" s="37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</row>
    <row r="88" ht="22.5" customHeight="1">
      <c r="A88" s="38" t="s">
        <v>433</v>
      </c>
      <c r="B88" s="21">
        <v>46052.0</v>
      </c>
      <c r="C88" s="30" t="s">
        <v>34</v>
      </c>
      <c r="D88" s="41" t="s">
        <v>69</v>
      </c>
      <c r="E88" s="19" t="s">
        <v>70</v>
      </c>
      <c r="F88" s="30" t="s">
        <v>6</v>
      </c>
      <c r="G88" s="30" t="s">
        <v>70</v>
      </c>
      <c r="H88" s="32">
        <v>2010.98</v>
      </c>
      <c r="I88" s="35"/>
      <c r="J88" s="35"/>
      <c r="K88" s="37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</row>
    <row r="89" ht="22.5" customHeight="1">
      <c r="A89" s="38" t="s">
        <v>435</v>
      </c>
      <c r="B89" s="21">
        <v>46052.0</v>
      </c>
      <c r="C89" s="30" t="s">
        <v>34</v>
      </c>
      <c r="D89" s="49" t="s">
        <v>78</v>
      </c>
      <c r="E89" s="42" t="s">
        <v>70</v>
      </c>
      <c r="F89" s="30" t="s">
        <v>6</v>
      </c>
      <c r="G89" s="30" t="s">
        <v>70</v>
      </c>
      <c r="H89" s="32">
        <v>1560.23</v>
      </c>
      <c r="I89" s="35"/>
      <c r="J89" s="35"/>
      <c r="K89" s="37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</row>
    <row r="90" ht="22.5" customHeight="1">
      <c r="A90" s="38" t="s">
        <v>436</v>
      </c>
      <c r="B90" s="21">
        <v>46053.0</v>
      </c>
      <c r="C90" s="30" t="s">
        <v>54</v>
      </c>
      <c r="D90" s="19" t="s">
        <v>164</v>
      </c>
      <c r="E90" s="19" t="s">
        <v>437</v>
      </c>
      <c r="F90" s="30" t="s">
        <v>11</v>
      </c>
      <c r="G90" s="30" t="s">
        <v>66</v>
      </c>
      <c r="H90" s="32">
        <f>-11.17-0.56</f>
        <v>-11.73</v>
      </c>
      <c r="I90" s="40">
        <v>20.0</v>
      </c>
      <c r="J90" s="40" t="s">
        <v>438</v>
      </c>
      <c r="K90" s="37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</row>
    <row r="91" ht="22.5" customHeight="1">
      <c r="A91" s="38" t="s">
        <v>440</v>
      </c>
      <c r="B91" s="21">
        <v>46053.0</v>
      </c>
      <c r="C91" s="30" t="s">
        <v>54</v>
      </c>
      <c r="D91" s="19" t="s">
        <v>164</v>
      </c>
      <c r="E91" s="19" t="s">
        <v>441</v>
      </c>
      <c r="F91" s="30" t="s">
        <v>11</v>
      </c>
      <c r="G91" s="30" t="s">
        <v>48</v>
      </c>
      <c r="H91" s="32">
        <f>-1.58-0.08</f>
        <v>-1.66</v>
      </c>
      <c r="I91" s="40">
        <v>0.059</v>
      </c>
      <c r="J91" s="40" t="s">
        <v>166</v>
      </c>
      <c r="K91" s="19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</row>
    <row r="92" ht="22.5" customHeight="1">
      <c r="A92" s="38" t="s">
        <v>442</v>
      </c>
      <c r="B92" s="21">
        <v>46053.0</v>
      </c>
      <c r="C92" s="30" t="s">
        <v>54</v>
      </c>
      <c r="D92" s="19" t="s">
        <v>164</v>
      </c>
      <c r="E92" s="19" t="s">
        <v>443</v>
      </c>
      <c r="F92" s="30" t="s">
        <v>11</v>
      </c>
      <c r="G92" s="30" t="s">
        <v>66</v>
      </c>
      <c r="H92" s="32">
        <f>-7.47-0.37</f>
        <v>-7.84</v>
      </c>
      <c r="I92" s="40">
        <v>36.0</v>
      </c>
      <c r="J92" s="35"/>
      <c r="K92" s="19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</row>
    <row r="93" ht="22.5" customHeight="1">
      <c r="A93" s="38" t="s">
        <v>445</v>
      </c>
      <c r="B93" s="21">
        <v>46053.0</v>
      </c>
      <c r="C93" s="30" t="s">
        <v>34</v>
      </c>
      <c r="D93" s="19" t="s">
        <v>321</v>
      </c>
      <c r="E93" s="19" t="s">
        <v>321</v>
      </c>
      <c r="F93" s="30" t="s">
        <v>103</v>
      </c>
      <c r="G93" s="30" t="s">
        <v>279</v>
      </c>
      <c r="H93" s="32">
        <v>-453.89</v>
      </c>
      <c r="I93" s="40"/>
      <c r="J93" s="40"/>
      <c r="K93" s="37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</row>
    <row r="94" ht="22.5" customHeight="1">
      <c r="A94" s="38" t="s">
        <v>446</v>
      </c>
      <c r="B94" s="21">
        <v>46053.0</v>
      </c>
      <c r="C94" s="30" t="s">
        <v>134</v>
      </c>
      <c r="D94" s="19" t="s">
        <v>321</v>
      </c>
      <c r="E94" s="19" t="s">
        <v>321</v>
      </c>
      <c r="F94" s="30" t="s">
        <v>103</v>
      </c>
      <c r="G94" s="30" t="s">
        <v>105</v>
      </c>
      <c r="H94" s="32">
        <v>453.89</v>
      </c>
      <c r="I94" s="40"/>
      <c r="J94" s="40"/>
      <c r="K94" s="37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</row>
    <row r="95" ht="22.5" customHeight="1">
      <c r="A95" s="38" t="s">
        <v>448</v>
      </c>
      <c r="B95" s="21">
        <v>46053.0</v>
      </c>
      <c r="C95" s="30" t="s">
        <v>54</v>
      </c>
      <c r="D95" s="19" t="s">
        <v>164</v>
      </c>
      <c r="E95" s="19" t="s">
        <v>449</v>
      </c>
      <c r="F95" s="30" t="s">
        <v>11</v>
      </c>
      <c r="G95" s="30" t="s">
        <v>42</v>
      </c>
      <c r="H95" s="32">
        <v>-3.0</v>
      </c>
      <c r="I95" s="40">
        <v>2.0</v>
      </c>
      <c r="J95" s="40" t="s">
        <v>170</v>
      </c>
      <c r="K95" s="37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</row>
    <row r="96" ht="22.5" customHeight="1">
      <c r="A96" s="38" t="s">
        <v>450</v>
      </c>
      <c r="B96" s="21">
        <v>46053.0</v>
      </c>
      <c r="C96" s="30" t="s">
        <v>54</v>
      </c>
      <c r="D96" s="19" t="s">
        <v>164</v>
      </c>
      <c r="E96" s="19" t="s">
        <v>451</v>
      </c>
      <c r="F96" s="30" t="s">
        <v>11</v>
      </c>
      <c r="G96" s="30" t="s">
        <v>42</v>
      </c>
      <c r="H96" s="32">
        <v>-1.3</v>
      </c>
      <c r="I96" s="40">
        <v>0.307</v>
      </c>
      <c r="J96" s="40" t="s">
        <v>188</v>
      </c>
      <c r="K96" s="37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</row>
    <row r="97" ht="22.5" customHeight="1">
      <c r="A97" s="38" t="s">
        <v>452</v>
      </c>
      <c r="B97" s="21">
        <v>46053.0</v>
      </c>
      <c r="C97" s="30" t="s">
        <v>54</v>
      </c>
      <c r="D97" s="19" t="s">
        <v>164</v>
      </c>
      <c r="E97" s="19" t="s">
        <v>454</v>
      </c>
      <c r="F97" s="30" t="s">
        <v>11</v>
      </c>
      <c r="G97" s="30" t="s">
        <v>42</v>
      </c>
      <c r="H97" s="32">
        <v>-34.9</v>
      </c>
      <c r="I97" s="40">
        <v>0.56</v>
      </c>
      <c r="J97" s="40" t="s">
        <v>188</v>
      </c>
      <c r="K97" s="37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</row>
    <row r="98" ht="22.5" customHeight="1">
      <c r="A98" s="38" t="s">
        <v>455</v>
      </c>
      <c r="B98" s="21">
        <v>46053.0</v>
      </c>
      <c r="C98" s="30" t="s">
        <v>34</v>
      </c>
      <c r="D98" s="19" t="s">
        <v>456</v>
      </c>
      <c r="E98" s="19" t="s">
        <v>456</v>
      </c>
      <c r="F98" s="30" t="s">
        <v>22</v>
      </c>
      <c r="G98" s="30" t="s">
        <v>92</v>
      </c>
      <c r="H98" s="32">
        <v>-2000.0</v>
      </c>
      <c r="I98" s="40"/>
      <c r="J98" s="40"/>
      <c r="K98" s="37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</row>
    <row r="99" ht="22.5" customHeight="1">
      <c r="A99" s="38" t="s">
        <v>457</v>
      </c>
      <c r="B99" s="21">
        <v>46053.0</v>
      </c>
      <c r="C99" s="30" t="s">
        <v>102</v>
      </c>
      <c r="D99" s="19" t="s">
        <v>456</v>
      </c>
      <c r="E99" s="19" t="s">
        <v>456</v>
      </c>
      <c r="F99" s="30" t="s">
        <v>103</v>
      </c>
      <c r="G99" s="30" t="s">
        <v>105</v>
      </c>
      <c r="H99" s="32">
        <v>2000.0</v>
      </c>
      <c r="I99" s="40"/>
      <c r="J99" s="40"/>
      <c r="K99" s="37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</row>
    <row r="100" ht="22.5" customHeight="1">
      <c r="A100" s="38" t="s">
        <v>459</v>
      </c>
      <c r="B100" s="21">
        <v>46053.0</v>
      </c>
      <c r="C100" s="30" t="s">
        <v>34</v>
      </c>
      <c r="D100" s="19" t="s">
        <v>456</v>
      </c>
      <c r="E100" s="19" t="s">
        <v>456</v>
      </c>
      <c r="F100" s="30" t="s">
        <v>22</v>
      </c>
      <c r="G100" s="30" t="s">
        <v>92</v>
      </c>
      <c r="H100" s="32">
        <v>-1831.61</v>
      </c>
      <c r="I100" s="40"/>
      <c r="J100" s="40"/>
      <c r="K100" s="37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</row>
    <row r="101" ht="22.5" customHeight="1">
      <c r="A101" s="38" t="s">
        <v>460</v>
      </c>
      <c r="B101" s="21">
        <v>46053.0</v>
      </c>
      <c r="C101" s="96" t="s">
        <v>121</v>
      </c>
      <c r="D101" s="97" t="s">
        <v>456</v>
      </c>
      <c r="E101" s="97" t="s">
        <v>456</v>
      </c>
      <c r="F101" s="30" t="s">
        <v>103</v>
      </c>
      <c r="G101" s="30" t="s">
        <v>105</v>
      </c>
      <c r="H101" s="32">
        <v>1831.61</v>
      </c>
      <c r="I101" s="98"/>
      <c r="J101" s="98"/>
      <c r="K101" s="99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</row>
    <row r="102" ht="22.5" customHeight="1">
      <c r="A102" s="38" t="s">
        <v>462</v>
      </c>
      <c r="B102" s="21">
        <v>46053.0</v>
      </c>
      <c r="C102" s="30" t="s">
        <v>54</v>
      </c>
      <c r="D102" s="100" t="s">
        <v>385</v>
      </c>
      <c r="E102" s="100" t="s">
        <v>463</v>
      </c>
      <c r="F102" s="101" t="s">
        <v>11</v>
      </c>
      <c r="G102" s="101" t="s">
        <v>42</v>
      </c>
      <c r="H102" s="102">
        <v>-23.6</v>
      </c>
      <c r="I102" s="103">
        <v>0.907</v>
      </c>
      <c r="J102" s="103" t="s">
        <v>188</v>
      </c>
      <c r="K102" s="104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</row>
    <row r="103" ht="22.5" customHeight="1">
      <c r="A103" s="38" t="s">
        <v>464</v>
      </c>
      <c r="B103" s="21">
        <v>46053.0</v>
      </c>
      <c r="C103" s="96" t="s">
        <v>54</v>
      </c>
      <c r="D103" s="97" t="s">
        <v>385</v>
      </c>
      <c r="E103" s="97" t="s">
        <v>466</v>
      </c>
      <c r="F103" s="30" t="s">
        <v>11</v>
      </c>
      <c r="G103" s="30" t="s">
        <v>42</v>
      </c>
      <c r="H103" s="105">
        <v>-7.36</v>
      </c>
      <c r="I103" s="98">
        <v>1.591</v>
      </c>
      <c r="J103" s="98" t="s">
        <v>188</v>
      </c>
      <c r="K103" s="99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</row>
    <row r="104" ht="22.5" customHeight="1">
      <c r="A104" s="38" t="s">
        <v>467</v>
      </c>
      <c r="B104" s="21">
        <v>46053.0</v>
      </c>
      <c r="C104" s="30" t="s">
        <v>145</v>
      </c>
      <c r="D104" s="19" t="s">
        <v>331</v>
      </c>
      <c r="E104" s="19" t="s">
        <v>285</v>
      </c>
      <c r="F104" s="30" t="s">
        <v>6</v>
      </c>
      <c r="G104" s="30" t="s">
        <v>285</v>
      </c>
      <c r="H104" s="32">
        <v>4.45</v>
      </c>
      <c r="I104" s="40"/>
      <c r="J104" s="40"/>
      <c r="K104" s="107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</row>
    <row r="105" ht="22.5" customHeight="1">
      <c r="A105" s="38" t="s">
        <v>468</v>
      </c>
      <c r="B105" s="21">
        <v>46053.0</v>
      </c>
      <c r="C105" s="30" t="s">
        <v>52</v>
      </c>
      <c r="D105" s="19" t="s">
        <v>331</v>
      </c>
      <c r="E105" s="19" t="s">
        <v>469</v>
      </c>
      <c r="F105" s="30" t="s">
        <v>6</v>
      </c>
      <c r="G105" s="30" t="s">
        <v>280</v>
      </c>
      <c r="H105" s="32">
        <v>38.56</v>
      </c>
      <c r="I105" s="40"/>
      <c r="J105" s="40"/>
      <c r="K105" s="107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</row>
    <row r="106" ht="22.5" customHeight="1">
      <c r="A106" s="38" t="s">
        <v>470</v>
      </c>
      <c r="B106" s="21">
        <v>46054.0</v>
      </c>
      <c r="C106" s="101" t="s">
        <v>134</v>
      </c>
      <c r="D106" s="100" t="s">
        <v>56</v>
      </c>
      <c r="E106" s="109" t="s">
        <v>33</v>
      </c>
      <c r="F106" s="101" t="s">
        <v>11</v>
      </c>
      <c r="G106" s="101" t="s">
        <v>8</v>
      </c>
      <c r="H106" s="43">
        <v>-24.51</v>
      </c>
      <c r="I106" s="35"/>
      <c r="J106" s="35"/>
      <c r="K106" s="107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</row>
    <row r="107" ht="22.5" customHeight="1">
      <c r="A107" s="38" t="s">
        <v>471</v>
      </c>
      <c r="B107" s="21">
        <v>46055.0</v>
      </c>
      <c r="C107" s="30" t="s">
        <v>54</v>
      </c>
      <c r="D107" s="27" t="s">
        <v>147</v>
      </c>
      <c r="E107" s="27" t="s">
        <v>148</v>
      </c>
      <c r="F107" s="30" t="s">
        <v>11</v>
      </c>
      <c r="G107" s="30" t="s">
        <v>62</v>
      </c>
      <c r="H107" s="32">
        <v>-160.0</v>
      </c>
      <c r="I107" s="35"/>
      <c r="J107" s="35"/>
      <c r="K107" s="37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</row>
    <row r="108" ht="22.5" customHeight="1">
      <c r="A108" s="38" t="s">
        <v>472</v>
      </c>
      <c r="B108" s="21">
        <v>46055.0</v>
      </c>
      <c r="C108" s="96" t="s">
        <v>134</v>
      </c>
      <c r="D108" s="27" t="s">
        <v>147</v>
      </c>
      <c r="E108" s="27" t="s">
        <v>148</v>
      </c>
      <c r="F108" s="30" t="s">
        <v>11</v>
      </c>
      <c r="G108" s="30" t="s">
        <v>62</v>
      </c>
      <c r="H108" s="32">
        <v>-80.0</v>
      </c>
      <c r="I108" s="35"/>
      <c r="J108" s="35"/>
      <c r="K108" s="37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</row>
    <row r="109" ht="22.5" customHeight="1">
      <c r="A109" s="38" t="s">
        <v>473</v>
      </c>
      <c r="B109" s="21">
        <v>46055.0</v>
      </c>
      <c r="C109" s="96" t="s">
        <v>34</v>
      </c>
      <c r="D109" s="27" t="s">
        <v>37</v>
      </c>
      <c r="E109" s="19" t="s">
        <v>9</v>
      </c>
      <c r="F109" s="30" t="s">
        <v>11</v>
      </c>
      <c r="G109" s="30" t="s">
        <v>8</v>
      </c>
      <c r="H109" s="32">
        <v>-2300.0</v>
      </c>
      <c r="I109" s="35"/>
      <c r="J109" s="35"/>
      <c r="K109" s="37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</row>
    <row r="110" ht="22.5" customHeight="1">
      <c r="A110" s="38" t="s">
        <v>474</v>
      </c>
      <c r="B110" s="21">
        <v>46055.0</v>
      </c>
      <c r="C110" s="30" t="s">
        <v>54</v>
      </c>
      <c r="D110" s="19" t="s">
        <v>475</v>
      </c>
      <c r="E110" s="19" t="s">
        <v>476</v>
      </c>
      <c r="F110" s="30" t="s">
        <v>11</v>
      </c>
      <c r="G110" s="30" t="s">
        <v>42</v>
      </c>
      <c r="H110" s="32">
        <v>-2.66</v>
      </c>
      <c r="I110" s="40">
        <v>1.0</v>
      </c>
      <c r="J110" s="40" t="s">
        <v>399</v>
      </c>
      <c r="K110" s="37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</row>
    <row r="111" ht="22.5" customHeight="1">
      <c r="A111" s="38" t="s">
        <v>477</v>
      </c>
      <c r="B111" s="21">
        <v>46055.0</v>
      </c>
      <c r="C111" s="30" t="s">
        <v>54</v>
      </c>
      <c r="D111" s="19" t="s">
        <v>475</v>
      </c>
      <c r="E111" s="19" t="s">
        <v>478</v>
      </c>
      <c r="F111" s="30" t="s">
        <v>11</v>
      </c>
      <c r="G111" s="30" t="s">
        <v>42</v>
      </c>
      <c r="H111" s="32">
        <v>-8.43</v>
      </c>
      <c r="I111" s="40">
        <v>12.0</v>
      </c>
      <c r="J111" s="40" t="s">
        <v>399</v>
      </c>
      <c r="K111" s="37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</row>
    <row r="112" ht="22.5" customHeight="1">
      <c r="A112" s="38" t="s">
        <v>479</v>
      </c>
      <c r="B112" s="21">
        <v>46055.0</v>
      </c>
      <c r="C112" s="30" t="s">
        <v>54</v>
      </c>
      <c r="D112" s="19" t="s">
        <v>475</v>
      </c>
      <c r="E112" s="19" t="s">
        <v>398</v>
      </c>
      <c r="F112" s="30" t="s">
        <v>11</v>
      </c>
      <c r="G112" s="30" t="s">
        <v>42</v>
      </c>
      <c r="H112" s="32">
        <v>-2.98</v>
      </c>
      <c r="I112" s="40">
        <v>1.0</v>
      </c>
      <c r="J112" s="40" t="s">
        <v>399</v>
      </c>
      <c r="K112" s="37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</row>
    <row r="113" ht="22.5" customHeight="1">
      <c r="A113" s="38" t="s">
        <v>480</v>
      </c>
      <c r="B113" s="21">
        <v>46055.0</v>
      </c>
      <c r="C113" s="30" t="s">
        <v>54</v>
      </c>
      <c r="D113" s="19" t="s">
        <v>475</v>
      </c>
      <c r="E113" s="19" t="s">
        <v>165</v>
      </c>
      <c r="F113" s="30" t="s">
        <v>11</v>
      </c>
      <c r="G113" s="30" t="s">
        <v>42</v>
      </c>
      <c r="H113" s="32">
        <v>-11.99</v>
      </c>
      <c r="I113" s="40">
        <v>0.946</v>
      </c>
      <c r="J113" s="40" t="s">
        <v>166</v>
      </c>
      <c r="K113" s="37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</row>
    <row r="114" ht="22.5" customHeight="1">
      <c r="A114" s="38" t="s">
        <v>481</v>
      </c>
      <c r="B114" s="21">
        <v>46055.0</v>
      </c>
      <c r="C114" s="30" t="s">
        <v>54</v>
      </c>
      <c r="D114" s="19" t="s">
        <v>475</v>
      </c>
      <c r="E114" s="19" t="s">
        <v>482</v>
      </c>
      <c r="F114" s="30" t="s">
        <v>11</v>
      </c>
      <c r="G114" s="30" t="s">
        <v>42</v>
      </c>
      <c r="H114" s="32">
        <v>-2.18</v>
      </c>
      <c r="I114" s="40">
        <v>2.0</v>
      </c>
      <c r="J114" s="40" t="s">
        <v>201</v>
      </c>
      <c r="K114" s="37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</row>
    <row r="115" ht="22.5" customHeight="1">
      <c r="A115" s="38" t="s">
        <v>483</v>
      </c>
      <c r="B115" s="21">
        <v>46055.0</v>
      </c>
      <c r="C115" s="30" t="s">
        <v>54</v>
      </c>
      <c r="D115" s="19" t="s">
        <v>475</v>
      </c>
      <c r="E115" s="19" t="s">
        <v>484</v>
      </c>
      <c r="F115" s="30" t="s">
        <v>11</v>
      </c>
      <c r="G115" s="30" t="s">
        <v>42</v>
      </c>
      <c r="H115" s="32">
        <v>-10.29</v>
      </c>
      <c r="I115" s="40">
        <v>0.5</v>
      </c>
      <c r="J115" s="40" t="s">
        <v>166</v>
      </c>
      <c r="K115" s="37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</row>
    <row r="116" ht="22.5" customHeight="1">
      <c r="A116" s="38" t="s">
        <v>485</v>
      </c>
      <c r="B116" s="21">
        <v>46055.0</v>
      </c>
      <c r="C116" s="30" t="s">
        <v>54</v>
      </c>
      <c r="D116" s="19" t="s">
        <v>475</v>
      </c>
      <c r="E116" s="19" t="s">
        <v>486</v>
      </c>
      <c r="F116" s="30" t="s">
        <v>11</v>
      </c>
      <c r="G116" s="30" t="s">
        <v>42</v>
      </c>
      <c r="H116" s="32">
        <v>-9.79</v>
      </c>
      <c r="I116" s="40">
        <v>2.0</v>
      </c>
      <c r="J116" s="40" t="s">
        <v>487</v>
      </c>
      <c r="K116" s="37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</row>
    <row r="117" ht="22.5" customHeight="1">
      <c r="A117" s="38" t="s">
        <v>488</v>
      </c>
      <c r="B117" s="21">
        <v>46055.0</v>
      </c>
      <c r="C117" s="30" t="s">
        <v>54</v>
      </c>
      <c r="D117" s="19" t="s">
        <v>475</v>
      </c>
      <c r="E117" s="19" t="s">
        <v>169</v>
      </c>
      <c r="F117" s="30" t="s">
        <v>11</v>
      </c>
      <c r="G117" s="30" t="s">
        <v>42</v>
      </c>
      <c r="H117" s="32">
        <v>-7.98</v>
      </c>
      <c r="I117" s="40">
        <v>2.0</v>
      </c>
      <c r="J117" s="40" t="s">
        <v>170</v>
      </c>
      <c r="K117" s="37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</row>
    <row r="118" ht="22.5" customHeight="1">
      <c r="A118" s="38" t="s">
        <v>489</v>
      </c>
      <c r="B118" s="21">
        <v>46055.0</v>
      </c>
      <c r="C118" s="30" t="s">
        <v>54</v>
      </c>
      <c r="D118" s="19" t="s">
        <v>475</v>
      </c>
      <c r="E118" s="19" t="s">
        <v>490</v>
      </c>
      <c r="F118" s="30" t="s">
        <v>11</v>
      </c>
      <c r="G118" s="30" t="s">
        <v>42</v>
      </c>
      <c r="H118" s="32">
        <v>-3.57</v>
      </c>
      <c r="I118" s="40">
        <v>1.164</v>
      </c>
      <c r="J118" s="40" t="s">
        <v>188</v>
      </c>
      <c r="K118" s="37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</row>
    <row r="119" ht="22.5" customHeight="1">
      <c r="A119" s="38" t="s">
        <v>491</v>
      </c>
      <c r="B119" s="21">
        <v>46055.0</v>
      </c>
      <c r="C119" s="30" t="s">
        <v>54</v>
      </c>
      <c r="D119" s="19" t="s">
        <v>475</v>
      </c>
      <c r="E119" s="19" t="s">
        <v>492</v>
      </c>
      <c r="F119" s="30" t="s">
        <v>11</v>
      </c>
      <c r="G119" s="30" t="s">
        <v>42</v>
      </c>
      <c r="H119" s="32">
        <v>-8.98</v>
      </c>
      <c r="I119" s="40">
        <v>1.0</v>
      </c>
      <c r="J119" s="40" t="s">
        <v>188</v>
      </c>
      <c r="K119" s="37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</row>
    <row r="120" ht="22.5" customHeight="1">
      <c r="A120" s="38" t="s">
        <v>493</v>
      </c>
      <c r="B120" s="21">
        <v>46057.0</v>
      </c>
      <c r="C120" s="30" t="s">
        <v>54</v>
      </c>
      <c r="D120" s="19" t="s">
        <v>317</v>
      </c>
      <c r="E120" s="19" t="s">
        <v>494</v>
      </c>
      <c r="F120" s="30" t="s">
        <v>44</v>
      </c>
      <c r="G120" s="30" t="s">
        <v>283</v>
      </c>
      <c r="H120" s="32">
        <v>-180.0</v>
      </c>
      <c r="I120" s="35"/>
      <c r="J120" s="35"/>
      <c r="K120" s="37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</row>
    <row r="121" ht="22.5" customHeight="1">
      <c r="A121" s="38" t="s">
        <v>495</v>
      </c>
      <c r="B121" s="21">
        <v>46058.0</v>
      </c>
      <c r="C121" s="30" t="s">
        <v>54</v>
      </c>
      <c r="D121" s="19" t="s">
        <v>496</v>
      </c>
      <c r="E121" s="19" t="s">
        <v>497</v>
      </c>
      <c r="F121" s="30" t="s">
        <v>35</v>
      </c>
      <c r="G121" s="30" t="s">
        <v>251</v>
      </c>
      <c r="H121" s="32">
        <v>-58.3</v>
      </c>
      <c r="I121" s="35"/>
      <c r="J121" s="35"/>
      <c r="K121" s="37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</row>
    <row r="122" ht="22.5" customHeight="1">
      <c r="A122" s="38" t="s">
        <v>498</v>
      </c>
      <c r="B122" s="21">
        <v>46059.0</v>
      </c>
      <c r="C122" s="96" t="s">
        <v>134</v>
      </c>
      <c r="D122" s="19" t="s">
        <v>258</v>
      </c>
      <c r="E122" s="97" t="s">
        <v>24</v>
      </c>
      <c r="F122" s="30" t="s">
        <v>11</v>
      </c>
      <c r="G122" s="30" t="s">
        <v>8</v>
      </c>
      <c r="H122" s="32">
        <v>-67.2</v>
      </c>
      <c r="I122" s="110"/>
      <c r="J122" s="110"/>
      <c r="K122" s="99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</row>
    <row r="123" ht="22.5" customHeight="1">
      <c r="A123" s="38" t="s">
        <v>499</v>
      </c>
      <c r="B123" s="21">
        <v>46059.0</v>
      </c>
      <c r="C123" s="30" t="s">
        <v>34</v>
      </c>
      <c r="D123" s="100" t="s">
        <v>321</v>
      </c>
      <c r="E123" s="100" t="s">
        <v>321</v>
      </c>
      <c r="F123" s="101" t="s">
        <v>103</v>
      </c>
      <c r="G123" s="101" t="s">
        <v>279</v>
      </c>
      <c r="H123" s="102">
        <v>-558.54</v>
      </c>
      <c r="I123" s="103"/>
      <c r="J123" s="108"/>
      <c r="K123" s="104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</row>
    <row r="124" ht="22.5" customHeight="1">
      <c r="A124" s="38" t="s">
        <v>500</v>
      </c>
      <c r="B124" s="21">
        <v>46059.0</v>
      </c>
      <c r="C124" s="96" t="s">
        <v>54</v>
      </c>
      <c r="D124" s="97" t="s">
        <v>321</v>
      </c>
      <c r="E124" s="97" t="s">
        <v>321</v>
      </c>
      <c r="F124" s="30" t="s">
        <v>103</v>
      </c>
      <c r="G124" s="30" t="s">
        <v>105</v>
      </c>
      <c r="H124" s="105">
        <v>558.54</v>
      </c>
      <c r="I124" s="98"/>
      <c r="J124" s="110"/>
      <c r="K124" s="99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</row>
    <row r="125" ht="22.5" customHeight="1">
      <c r="A125" s="38" t="s">
        <v>501</v>
      </c>
      <c r="B125" s="21">
        <v>46063.0</v>
      </c>
      <c r="C125" s="30" t="s">
        <v>54</v>
      </c>
      <c r="D125" s="100" t="s">
        <v>164</v>
      </c>
      <c r="E125" s="100" t="s">
        <v>206</v>
      </c>
      <c r="F125" s="101" t="s">
        <v>11</v>
      </c>
      <c r="G125" s="101" t="s">
        <v>42</v>
      </c>
      <c r="H125" s="102">
        <v>-5.0</v>
      </c>
      <c r="I125" s="103">
        <v>2.0</v>
      </c>
      <c r="J125" s="103" t="s">
        <v>170</v>
      </c>
      <c r="K125" s="104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</row>
    <row r="126" ht="22.5" customHeight="1">
      <c r="A126" s="38" t="s">
        <v>502</v>
      </c>
      <c r="B126" s="21">
        <v>46063.0</v>
      </c>
      <c r="C126" s="96" t="s">
        <v>54</v>
      </c>
      <c r="D126" s="97" t="s">
        <v>164</v>
      </c>
      <c r="E126" s="97" t="s">
        <v>389</v>
      </c>
      <c r="F126" s="96" t="s">
        <v>11</v>
      </c>
      <c r="G126" s="30" t="s">
        <v>42</v>
      </c>
      <c r="H126" s="32">
        <v>-1.56</v>
      </c>
      <c r="I126" s="98">
        <v>3.0</v>
      </c>
      <c r="J126" s="98" t="s">
        <v>310</v>
      </c>
      <c r="K126" s="99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</row>
    <row r="127" ht="22.5" customHeight="1">
      <c r="A127" s="38" t="s">
        <v>503</v>
      </c>
      <c r="B127" s="21">
        <v>46063.0</v>
      </c>
      <c r="C127" s="101" t="s">
        <v>54</v>
      </c>
      <c r="D127" s="100" t="s">
        <v>164</v>
      </c>
      <c r="E127" s="100" t="s">
        <v>466</v>
      </c>
      <c r="F127" s="101" t="s">
        <v>11</v>
      </c>
      <c r="G127" s="101" t="s">
        <v>42</v>
      </c>
      <c r="H127" s="32">
        <v>-7.52</v>
      </c>
      <c r="I127" s="103">
        <v>1.6</v>
      </c>
      <c r="J127" s="103" t="s">
        <v>188</v>
      </c>
      <c r="K127" s="104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</row>
    <row r="128" ht="22.5" customHeight="1">
      <c r="A128" s="38" t="s">
        <v>504</v>
      </c>
      <c r="B128" s="21">
        <v>46063.0</v>
      </c>
      <c r="C128" s="30" t="s">
        <v>142</v>
      </c>
      <c r="D128" s="19" t="s">
        <v>331</v>
      </c>
      <c r="E128" s="19" t="s">
        <v>285</v>
      </c>
      <c r="F128" s="30" t="s">
        <v>6</v>
      </c>
      <c r="G128" s="30" t="s">
        <v>285</v>
      </c>
      <c r="H128" s="32">
        <v>14.24</v>
      </c>
      <c r="I128" s="40"/>
      <c r="J128" s="40"/>
      <c r="K128" s="37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</row>
    <row r="129" ht="22.5" customHeight="1">
      <c r="A129" s="38" t="s">
        <v>505</v>
      </c>
      <c r="B129" s="21">
        <v>46064.0</v>
      </c>
      <c r="C129" s="30" t="s">
        <v>54</v>
      </c>
      <c r="D129" s="19" t="s">
        <v>334</v>
      </c>
      <c r="E129" s="19" t="s">
        <v>335</v>
      </c>
      <c r="F129" s="30" t="s">
        <v>35</v>
      </c>
      <c r="G129" s="30" t="s">
        <v>294</v>
      </c>
      <c r="H129" s="32">
        <v>-20.04</v>
      </c>
      <c r="I129" s="35"/>
      <c r="J129" s="35"/>
      <c r="K129" s="37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</row>
    <row r="130" ht="22.5" customHeight="1">
      <c r="A130" s="38" t="s">
        <v>506</v>
      </c>
      <c r="B130" s="21">
        <v>46064.0</v>
      </c>
      <c r="C130" s="30" t="s">
        <v>134</v>
      </c>
      <c r="D130" s="19" t="s">
        <v>314</v>
      </c>
      <c r="E130" s="19" t="s">
        <v>507</v>
      </c>
      <c r="F130" s="30" t="s">
        <v>51</v>
      </c>
      <c r="G130" s="30" t="s">
        <v>283</v>
      </c>
      <c r="H130" s="32">
        <v>-160.0</v>
      </c>
      <c r="I130" s="35"/>
      <c r="J130" s="35"/>
      <c r="K130" s="37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</row>
    <row r="131" ht="22.5" customHeight="1">
      <c r="A131" s="38" t="s">
        <v>508</v>
      </c>
      <c r="B131" s="21">
        <v>46065.0</v>
      </c>
      <c r="C131" s="30" t="s">
        <v>34</v>
      </c>
      <c r="D131" s="41" t="s">
        <v>69</v>
      </c>
      <c r="E131" s="19" t="s">
        <v>70</v>
      </c>
      <c r="F131" s="30" t="s">
        <v>6</v>
      </c>
      <c r="G131" s="30" t="s">
        <v>70</v>
      </c>
      <c r="H131" s="32">
        <v>2010.98</v>
      </c>
      <c r="I131" s="35"/>
      <c r="J131" s="35"/>
      <c r="K131" s="37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</row>
    <row r="132" ht="22.5" customHeight="1">
      <c r="A132" s="38" t="s">
        <v>509</v>
      </c>
      <c r="B132" s="21">
        <v>46065.0</v>
      </c>
      <c r="C132" s="30" t="s">
        <v>34</v>
      </c>
      <c r="D132" s="49" t="s">
        <v>78</v>
      </c>
      <c r="E132" s="42" t="s">
        <v>70</v>
      </c>
      <c r="F132" s="30" t="s">
        <v>6</v>
      </c>
      <c r="G132" s="30" t="s">
        <v>70</v>
      </c>
      <c r="H132" s="32">
        <v>1560.23</v>
      </c>
      <c r="I132" s="35"/>
      <c r="J132" s="35"/>
      <c r="K132" s="37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</row>
    <row r="133" ht="22.5" customHeight="1">
      <c r="A133" s="38" t="s">
        <v>510</v>
      </c>
      <c r="B133" s="21">
        <v>46065.0</v>
      </c>
      <c r="C133" s="111" t="s">
        <v>34</v>
      </c>
      <c r="D133" s="112" t="s">
        <v>22</v>
      </c>
      <c r="E133" s="112" t="s">
        <v>22</v>
      </c>
      <c r="F133" s="101" t="s">
        <v>22</v>
      </c>
      <c r="G133" s="101" t="s">
        <v>92</v>
      </c>
      <c r="H133" s="32">
        <v>-500.0</v>
      </c>
      <c r="I133" s="113"/>
      <c r="J133" s="113"/>
      <c r="K133" s="114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</row>
    <row r="134" ht="22.5" customHeight="1">
      <c r="A134" s="38" t="s">
        <v>511</v>
      </c>
      <c r="B134" s="21">
        <v>46065.0</v>
      </c>
      <c r="C134" s="101" t="s">
        <v>102</v>
      </c>
      <c r="D134" s="115" t="s">
        <v>22</v>
      </c>
      <c r="E134" s="115" t="s">
        <v>22</v>
      </c>
      <c r="F134" s="116" t="s">
        <v>103</v>
      </c>
      <c r="G134" s="116" t="s">
        <v>105</v>
      </c>
      <c r="H134" s="32">
        <v>500.0</v>
      </c>
      <c r="I134" s="117"/>
      <c r="J134" s="117"/>
      <c r="K134" s="11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</row>
    <row r="135" ht="22.5" customHeight="1">
      <c r="A135" s="38" t="s">
        <v>512</v>
      </c>
      <c r="B135" s="21">
        <v>46065.0</v>
      </c>
      <c r="C135" s="111" t="s">
        <v>34</v>
      </c>
      <c r="D135" s="112" t="s">
        <v>22</v>
      </c>
      <c r="E135" s="112" t="s">
        <v>22</v>
      </c>
      <c r="F135" s="101" t="s">
        <v>22</v>
      </c>
      <c r="G135" s="101" t="s">
        <v>92</v>
      </c>
      <c r="H135" s="119">
        <v>-500.0</v>
      </c>
      <c r="I135" s="113"/>
      <c r="J135" s="113"/>
      <c r="K135" s="114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</row>
    <row r="136" ht="22.5" customHeight="1">
      <c r="A136" s="38" t="s">
        <v>513</v>
      </c>
      <c r="B136" s="21">
        <v>46065.0</v>
      </c>
      <c r="C136" s="30" t="s">
        <v>121</v>
      </c>
      <c r="D136" s="115" t="s">
        <v>22</v>
      </c>
      <c r="E136" s="115" t="s">
        <v>22</v>
      </c>
      <c r="F136" s="116" t="s">
        <v>103</v>
      </c>
      <c r="G136" s="116" t="s">
        <v>105</v>
      </c>
      <c r="H136" s="120">
        <v>500.0</v>
      </c>
      <c r="I136" s="121"/>
      <c r="J136" s="121"/>
      <c r="K136" s="122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</row>
    <row r="137" ht="22.5" customHeight="1">
      <c r="A137" s="38" t="s">
        <v>514</v>
      </c>
      <c r="B137" s="21">
        <v>46065.0</v>
      </c>
      <c r="C137" s="123" t="s">
        <v>34</v>
      </c>
      <c r="D137" s="124" t="s">
        <v>17</v>
      </c>
      <c r="E137" s="124" t="s">
        <v>17</v>
      </c>
      <c r="F137" s="30" t="s">
        <v>17</v>
      </c>
      <c r="G137" s="30" t="s">
        <v>136</v>
      </c>
      <c r="H137" s="32">
        <v>-1000.0</v>
      </c>
      <c r="I137" s="125"/>
      <c r="J137" s="125"/>
      <c r="K137" s="126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</row>
    <row r="138" ht="22.5" customHeight="1">
      <c r="A138" s="38" t="s">
        <v>515</v>
      </c>
      <c r="B138" s="21">
        <v>46065.0</v>
      </c>
      <c r="C138" s="127" t="s">
        <v>52</v>
      </c>
      <c r="D138" s="115" t="s">
        <v>17</v>
      </c>
      <c r="E138" s="115" t="s">
        <v>17</v>
      </c>
      <c r="F138" s="116" t="s">
        <v>103</v>
      </c>
      <c r="G138" s="116" t="s">
        <v>105</v>
      </c>
      <c r="H138" s="102">
        <v>1000.0</v>
      </c>
      <c r="I138" s="121"/>
      <c r="J138" s="121"/>
      <c r="K138" s="122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</row>
    <row r="139" ht="22.5" customHeight="1">
      <c r="A139" s="38" t="s">
        <v>516</v>
      </c>
      <c r="B139" s="21">
        <v>46066.0</v>
      </c>
      <c r="C139" s="30" t="s">
        <v>54</v>
      </c>
      <c r="D139" s="19" t="s">
        <v>517</v>
      </c>
      <c r="E139" s="19" t="s">
        <v>518</v>
      </c>
      <c r="F139" s="30" t="s">
        <v>44</v>
      </c>
      <c r="G139" s="30" t="s">
        <v>277</v>
      </c>
      <c r="H139" s="32">
        <v>-45.0</v>
      </c>
      <c r="I139" s="35"/>
      <c r="J139" s="35"/>
      <c r="K139" s="37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</row>
    <row r="140" ht="22.5" customHeight="1">
      <c r="A140" s="38" t="s">
        <v>519</v>
      </c>
      <c r="B140" s="21">
        <v>46066.0</v>
      </c>
      <c r="C140" s="96" t="s">
        <v>134</v>
      </c>
      <c r="D140" s="19" t="s">
        <v>520</v>
      </c>
      <c r="E140" s="19" t="s">
        <v>521</v>
      </c>
      <c r="F140" s="30" t="s">
        <v>51</v>
      </c>
      <c r="G140" s="30" t="s">
        <v>277</v>
      </c>
      <c r="H140" s="32">
        <v>-28.0</v>
      </c>
      <c r="I140" s="35"/>
      <c r="J140" s="35"/>
      <c r="K140" s="37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</row>
    <row r="141" ht="22.5" customHeight="1">
      <c r="A141" s="38" t="s">
        <v>522</v>
      </c>
      <c r="B141" s="21">
        <v>46067.0</v>
      </c>
      <c r="C141" s="96" t="s">
        <v>54</v>
      </c>
      <c r="D141" s="19" t="s">
        <v>523</v>
      </c>
      <c r="E141" s="19" t="s">
        <v>524</v>
      </c>
      <c r="F141" s="30" t="s">
        <v>35</v>
      </c>
      <c r="G141" s="30" t="s">
        <v>251</v>
      </c>
      <c r="H141" s="32">
        <v>-95.4</v>
      </c>
      <c r="I141" s="35"/>
      <c r="J141" s="35"/>
      <c r="K141" s="37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</row>
    <row r="142" ht="22.5" customHeight="1">
      <c r="A142" s="38" t="s">
        <v>525</v>
      </c>
      <c r="B142" s="21">
        <v>46067.0</v>
      </c>
      <c r="C142" s="30" t="s">
        <v>54</v>
      </c>
      <c r="D142" s="19" t="s">
        <v>378</v>
      </c>
      <c r="E142" s="19" t="s">
        <v>526</v>
      </c>
      <c r="F142" s="30" t="s">
        <v>35</v>
      </c>
      <c r="G142" s="30" t="s">
        <v>62</v>
      </c>
      <c r="H142" s="32">
        <v>-70.84</v>
      </c>
      <c r="I142" s="35"/>
      <c r="J142" s="35"/>
      <c r="K142" s="37"/>
      <c r="L142" s="87"/>
      <c r="M142" s="87"/>
      <c r="N142" s="87"/>
      <c r="O142" s="87"/>
      <c r="P142" s="87"/>
      <c r="Q142" s="87"/>
      <c r="R142" s="87"/>
      <c r="S142" s="87"/>
      <c r="T142" s="87"/>
      <c r="U142" s="87"/>
      <c r="V142" s="87"/>
      <c r="W142" s="87"/>
      <c r="X142" s="87"/>
    </row>
    <row r="143" ht="22.5" customHeight="1">
      <c r="A143" s="38" t="s">
        <v>527</v>
      </c>
      <c r="B143" s="21">
        <v>46068.0</v>
      </c>
      <c r="C143" s="30" t="s">
        <v>54</v>
      </c>
      <c r="D143" s="19" t="s">
        <v>528</v>
      </c>
      <c r="E143" s="19" t="s">
        <v>298</v>
      </c>
      <c r="F143" s="30" t="s">
        <v>61</v>
      </c>
      <c r="G143" s="30" t="s">
        <v>298</v>
      </c>
      <c r="H143" s="32">
        <v>-85.6</v>
      </c>
      <c r="I143" s="35"/>
      <c r="J143" s="35"/>
      <c r="K143" s="37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</row>
    <row r="144" ht="22.5" customHeight="1">
      <c r="A144" s="38" t="s">
        <v>529</v>
      </c>
      <c r="B144" s="21">
        <v>46068.0</v>
      </c>
      <c r="C144" s="30" t="s">
        <v>54</v>
      </c>
      <c r="D144" s="19" t="s">
        <v>528</v>
      </c>
      <c r="E144" s="19" t="s">
        <v>290</v>
      </c>
      <c r="F144" s="30" t="s">
        <v>61</v>
      </c>
      <c r="G144" s="30" t="s">
        <v>290</v>
      </c>
      <c r="H144" s="32">
        <v>-110.89</v>
      </c>
      <c r="I144" s="35"/>
      <c r="J144" s="35"/>
      <c r="K144" s="37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</row>
    <row r="145" ht="22.5" customHeight="1">
      <c r="A145" s="38" t="s">
        <v>530</v>
      </c>
      <c r="B145" s="21">
        <v>46068.0</v>
      </c>
      <c r="C145" s="30" t="s">
        <v>54</v>
      </c>
      <c r="D145" s="19" t="s">
        <v>378</v>
      </c>
      <c r="E145" s="19" t="s">
        <v>531</v>
      </c>
      <c r="F145" s="30" t="s">
        <v>35</v>
      </c>
      <c r="G145" s="30" t="s">
        <v>62</v>
      </c>
      <c r="H145" s="32">
        <v>-40.75</v>
      </c>
      <c r="I145" s="35"/>
      <c r="J145" s="35"/>
      <c r="K145" s="37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</row>
    <row r="146" ht="22.5" customHeight="1">
      <c r="A146" s="38" t="s">
        <v>532</v>
      </c>
      <c r="B146" s="21">
        <v>46068.0</v>
      </c>
      <c r="C146" s="30" t="s">
        <v>54</v>
      </c>
      <c r="D146" s="19" t="s">
        <v>158</v>
      </c>
      <c r="E146" s="19" t="s">
        <v>159</v>
      </c>
      <c r="F146" s="30" t="s">
        <v>11</v>
      </c>
      <c r="G146" s="30" t="s">
        <v>57</v>
      </c>
      <c r="H146" s="32">
        <v>-156.78</v>
      </c>
      <c r="I146" s="40">
        <v>30.0</v>
      </c>
      <c r="J146" s="40" t="s">
        <v>161</v>
      </c>
      <c r="K146" s="37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</row>
    <row r="147" ht="22.5" customHeight="1">
      <c r="A147" s="38" t="s">
        <v>533</v>
      </c>
      <c r="B147" s="21">
        <v>46068.0</v>
      </c>
      <c r="C147" s="30" t="s">
        <v>54</v>
      </c>
      <c r="D147" s="19" t="s">
        <v>158</v>
      </c>
      <c r="E147" s="19" t="s">
        <v>272</v>
      </c>
      <c r="F147" s="30" t="s">
        <v>61</v>
      </c>
      <c r="G147" s="30" t="s">
        <v>272</v>
      </c>
      <c r="H147" s="32">
        <v>-10.98</v>
      </c>
      <c r="I147" s="40"/>
      <c r="J147" s="40"/>
      <c r="K147" s="37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</row>
    <row r="148" ht="22.5" customHeight="1">
      <c r="A148" s="38" t="s">
        <v>534</v>
      </c>
      <c r="B148" s="21">
        <v>46068.0</v>
      </c>
      <c r="C148" s="30" t="s">
        <v>54</v>
      </c>
      <c r="D148" s="19" t="s">
        <v>164</v>
      </c>
      <c r="E148" s="19" t="s">
        <v>535</v>
      </c>
      <c r="F148" s="30" t="s">
        <v>11</v>
      </c>
      <c r="G148" s="30" t="s">
        <v>42</v>
      </c>
      <c r="H148" s="32">
        <v>-4.7</v>
      </c>
      <c r="I148" s="40">
        <v>1.14</v>
      </c>
      <c r="J148" s="40" t="s">
        <v>188</v>
      </c>
      <c r="K148" s="37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</row>
    <row r="149" ht="22.5" customHeight="1">
      <c r="A149" s="38" t="s">
        <v>536</v>
      </c>
      <c r="B149" s="21">
        <v>46068.0</v>
      </c>
      <c r="C149" s="30" t="s">
        <v>54</v>
      </c>
      <c r="D149" s="19" t="s">
        <v>385</v>
      </c>
      <c r="E149" s="19" t="s">
        <v>537</v>
      </c>
      <c r="F149" s="30" t="s">
        <v>11</v>
      </c>
      <c r="G149" s="30" t="s">
        <v>48</v>
      </c>
      <c r="H149" s="32">
        <v>-5.98</v>
      </c>
      <c r="I149" s="40"/>
      <c r="J149" s="35"/>
      <c r="K149" s="37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</row>
    <row r="150" ht="22.5" customHeight="1">
      <c r="A150" s="38" t="s">
        <v>538</v>
      </c>
      <c r="B150" s="21">
        <v>46068.0</v>
      </c>
      <c r="C150" s="30" t="s">
        <v>54</v>
      </c>
      <c r="D150" s="19" t="s">
        <v>385</v>
      </c>
      <c r="E150" s="19" t="s">
        <v>539</v>
      </c>
      <c r="F150" s="30" t="s">
        <v>11</v>
      </c>
      <c r="G150" s="30" t="s">
        <v>48</v>
      </c>
      <c r="H150" s="32">
        <v>-5.98</v>
      </c>
      <c r="I150" s="40"/>
      <c r="J150" s="35"/>
      <c r="K150" s="37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</row>
    <row r="151" ht="22.5" customHeight="1">
      <c r="A151" s="38" t="s">
        <v>540</v>
      </c>
      <c r="B151" s="21">
        <v>46068.0</v>
      </c>
      <c r="C151" s="30" t="s">
        <v>54</v>
      </c>
      <c r="D151" s="19" t="s">
        <v>385</v>
      </c>
      <c r="E151" s="19" t="s">
        <v>541</v>
      </c>
      <c r="F151" s="30" t="s">
        <v>11</v>
      </c>
      <c r="G151" s="30" t="s">
        <v>42</v>
      </c>
      <c r="H151" s="32">
        <v>-2.96</v>
      </c>
      <c r="I151" s="40">
        <v>1.27</v>
      </c>
      <c r="J151" s="40" t="s">
        <v>188</v>
      </c>
      <c r="K151" s="37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</row>
    <row r="152" ht="22.5" customHeight="1">
      <c r="A152" s="38" t="s">
        <v>542</v>
      </c>
      <c r="B152" s="21">
        <v>46068.0</v>
      </c>
      <c r="C152" s="30" t="s">
        <v>54</v>
      </c>
      <c r="D152" s="19" t="s">
        <v>385</v>
      </c>
      <c r="E152" s="19" t="s">
        <v>543</v>
      </c>
      <c r="F152" s="30" t="s">
        <v>11</v>
      </c>
      <c r="G152" s="30" t="s">
        <v>42</v>
      </c>
      <c r="H152" s="32">
        <v>-6.5</v>
      </c>
      <c r="I152" s="40">
        <v>0.68</v>
      </c>
      <c r="J152" s="40" t="s">
        <v>166</v>
      </c>
      <c r="K152" s="37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</row>
    <row r="153" ht="22.5" customHeight="1">
      <c r="A153" s="38" t="s">
        <v>544</v>
      </c>
      <c r="B153" s="21">
        <v>46070.0</v>
      </c>
      <c r="C153" s="30" t="s">
        <v>54</v>
      </c>
      <c r="D153" s="19" t="s">
        <v>475</v>
      </c>
      <c r="E153" s="19" t="s">
        <v>224</v>
      </c>
      <c r="F153" s="30" t="s">
        <v>11</v>
      </c>
      <c r="G153" s="30" t="s">
        <v>42</v>
      </c>
      <c r="H153" s="32">
        <v>-5.01</v>
      </c>
      <c r="I153" s="40">
        <v>2.0</v>
      </c>
      <c r="J153" s="40" t="s">
        <v>170</v>
      </c>
      <c r="K153" s="37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</row>
    <row r="154" ht="22.5" customHeight="1">
      <c r="A154" s="38" t="s">
        <v>545</v>
      </c>
      <c r="B154" s="21">
        <v>46070.0</v>
      </c>
      <c r="C154" s="30" t="s">
        <v>54</v>
      </c>
      <c r="D154" s="19" t="s">
        <v>475</v>
      </c>
      <c r="E154" s="19" t="s">
        <v>229</v>
      </c>
      <c r="F154" s="30" t="s">
        <v>11</v>
      </c>
      <c r="G154" s="30" t="s">
        <v>42</v>
      </c>
      <c r="H154" s="32">
        <v>-6.35</v>
      </c>
      <c r="I154" s="40"/>
      <c r="J154" s="40"/>
      <c r="K154" s="37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</row>
    <row r="155" ht="22.5" customHeight="1">
      <c r="A155" s="38" t="s">
        <v>546</v>
      </c>
      <c r="B155" s="21">
        <v>46070.0</v>
      </c>
      <c r="C155" s="30" t="s">
        <v>54</v>
      </c>
      <c r="D155" s="19" t="s">
        <v>475</v>
      </c>
      <c r="E155" s="19" t="s">
        <v>269</v>
      </c>
      <c r="F155" s="30" t="s">
        <v>11</v>
      </c>
      <c r="G155" s="30" t="s">
        <v>42</v>
      </c>
      <c r="H155" s="32">
        <v>-11.98</v>
      </c>
      <c r="I155" s="40">
        <v>2.0</v>
      </c>
      <c r="J155" s="40" t="s">
        <v>201</v>
      </c>
      <c r="K155" s="37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</row>
    <row r="156" ht="22.5" customHeight="1">
      <c r="A156" s="38" t="s">
        <v>547</v>
      </c>
      <c r="B156" s="21">
        <v>46070.0</v>
      </c>
      <c r="C156" s="30" t="s">
        <v>54</v>
      </c>
      <c r="D156" s="19" t="s">
        <v>475</v>
      </c>
      <c r="E156" s="19" t="s">
        <v>263</v>
      </c>
      <c r="F156" s="30" t="s">
        <v>11</v>
      </c>
      <c r="G156" s="30" t="s">
        <v>42</v>
      </c>
      <c r="H156" s="32">
        <v>-17.07</v>
      </c>
      <c r="I156" s="40">
        <v>1.68</v>
      </c>
      <c r="J156" s="40" t="s">
        <v>188</v>
      </c>
      <c r="K156" s="37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</row>
    <row r="157" ht="22.5" customHeight="1">
      <c r="A157" s="38" t="s">
        <v>548</v>
      </c>
      <c r="B157" s="21">
        <v>46070.0</v>
      </c>
      <c r="C157" s="30" t="s">
        <v>54</v>
      </c>
      <c r="D157" s="19" t="s">
        <v>475</v>
      </c>
      <c r="E157" s="19" t="s">
        <v>200</v>
      </c>
      <c r="F157" s="30" t="s">
        <v>11</v>
      </c>
      <c r="G157" s="30" t="s">
        <v>42</v>
      </c>
      <c r="H157" s="32">
        <v>-1.86</v>
      </c>
      <c r="I157" s="40">
        <v>3.0</v>
      </c>
      <c r="J157" s="40" t="s">
        <v>201</v>
      </c>
      <c r="K157" s="37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</row>
    <row r="158" ht="22.5" customHeight="1">
      <c r="A158" s="38" t="s">
        <v>549</v>
      </c>
      <c r="B158" s="21">
        <v>46070.0</v>
      </c>
      <c r="C158" s="30" t="s">
        <v>54</v>
      </c>
      <c r="D158" s="19" t="s">
        <v>475</v>
      </c>
      <c r="E158" s="19" t="s">
        <v>337</v>
      </c>
      <c r="F158" s="30" t="s">
        <v>11</v>
      </c>
      <c r="G158" s="30" t="s">
        <v>42</v>
      </c>
      <c r="H158" s="32">
        <v>-3.99</v>
      </c>
      <c r="I158" s="40">
        <v>1.36</v>
      </c>
      <c r="J158" s="40" t="s">
        <v>188</v>
      </c>
      <c r="K158" s="37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</row>
    <row r="159" ht="22.5" customHeight="1">
      <c r="A159" s="38" t="s">
        <v>550</v>
      </c>
      <c r="B159" s="21">
        <v>46073.0</v>
      </c>
      <c r="C159" s="30" t="s">
        <v>54</v>
      </c>
      <c r="D159" s="19" t="s">
        <v>164</v>
      </c>
      <c r="E159" s="19" t="s">
        <v>551</v>
      </c>
      <c r="F159" s="30" t="s">
        <v>11</v>
      </c>
      <c r="G159" s="30" t="s">
        <v>48</v>
      </c>
      <c r="H159" s="32">
        <f>-19.97-1-1.4</f>
        <v>-22.37</v>
      </c>
      <c r="I159" s="40">
        <v>76.0</v>
      </c>
      <c r="J159" s="40" t="s">
        <v>552</v>
      </c>
      <c r="K159" s="37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</row>
    <row r="160" ht="22.5" customHeight="1">
      <c r="A160" s="38" t="s">
        <v>553</v>
      </c>
      <c r="B160" s="21">
        <v>46073.0</v>
      </c>
      <c r="C160" s="30" t="s">
        <v>54</v>
      </c>
      <c r="D160" s="19" t="s">
        <v>164</v>
      </c>
      <c r="E160" s="19" t="s">
        <v>554</v>
      </c>
      <c r="F160" s="30" t="s">
        <v>11</v>
      </c>
      <c r="G160" s="30" t="s">
        <v>48</v>
      </c>
      <c r="H160" s="32">
        <f>-24.97-1.25-1.75</f>
        <v>-27.97</v>
      </c>
      <c r="I160" s="40">
        <v>83.0</v>
      </c>
      <c r="J160" s="40" t="s">
        <v>552</v>
      </c>
      <c r="K160" s="37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</row>
    <row r="161" ht="22.5" customHeight="1">
      <c r="A161" s="38" t="s">
        <v>555</v>
      </c>
      <c r="B161" s="21">
        <v>46073.0</v>
      </c>
      <c r="C161" s="30" t="s">
        <v>54</v>
      </c>
      <c r="D161" s="19" t="s">
        <v>164</v>
      </c>
      <c r="E161" s="19" t="s">
        <v>454</v>
      </c>
      <c r="F161" s="30" t="s">
        <v>11</v>
      </c>
      <c r="G161" s="30" t="s">
        <v>42</v>
      </c>
      <c r="H161" s="32">
        <v>-21.24</v>
      </c>
      <c r="I161" s="40">
        <v>0.38</v>
      </c>
      <c r="J161" s="40" t="s">
        <v>188</v>
      </c>
      <c r="K161" s="37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</row>
    <row r="162" ht="22.5" customHeight="1">
      <c r="A162" s="38" t="s">
        <v>556</v>
      </c>
      <c r="B162" s="21">
        <v>46073.0</v>
      </c>
      <c r="C162" s="30" t="s">
        <v>54</v>
      </c>
      <c r="D162" s="19" t="s">
        <v>164</v>
      </c>
      <c r="E162" s="19" t="s">
        <v>557</v>
      </c>
      <c r="F162" s="30" t="s">
        <v>11</v>
      </c>
      <c r="G162" s="30" t="s">
        <v>42</v>
      </c>
      <c r="H162" s="32">
        <v>-3.05</v>
      </c>
      <c r="I162" s="40">
        <v>1.0</v>
      </c>
      <c r="J162" s="40" t="s">
        <v>166</v>
      </c>
      <c r="K162" s="37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</row>
    <row r="163" ht="22.5" customHeight="1">
      <c r="A163" s="38" t="s">
        <v>558</v>
      </c>
      <c r="B163" s="21">
        <v>46073.0</v>
      </c>
      <c r="C163" s="96" t="s">
        <v>54</v>
      </c>
      <c r="D163" s="19" t="s">
        <v>164</v>
      </c>
      <c r="E163" s="19" t="s">
        <v>559</v>
      </c>
      <c r="F163" s="30" t="s">
        <v>11</v>
      </c>
      <c r="G163" s="30" t="s">
        <v>42</v>
      </c>
      <c r="H163" s="32">
        <v>-7.98</v>
      </c>
      <c r="I163" s="40">
        <v>1.5</v>
      </c>
      <c r="J163" s="40" t="s">
        <v>188</v>
      </c>
      <c r="K163" s="37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</row>
    <row r="164" ht="22.5" customHeight="1">
      <c r="A164" s="38" t="s">
        <v>560</v>
      </c>
      <c r="B164" s="21">
        <v>46073.0</v>
      </c>
      <c r="C164" s="30" t="s">
        <v>54</v>
      </c>
      <c r="D164" s="19" t="s">
        <v>164</v>
      </c>
      <c r="E164" s="19" t="s">
        <v>274</v>
      </c>
      <c r="F164" s="30" t="s">
        <v>11</v>
      </c>
      <c r="G164" s="30" t="s">
        <v>42</v>
      </c>
      <c r="H164" s="32">
        <v>-5.88</v>
      </c>
      <c r="I164" s="40">
        <v>0.75</v>
      </c>
      <c r="J164" s="40" t="s">
        <v>166</v>
      </c>
      <c r="K164" s="37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</row>
    <row r="165" ht="22.5" customHeight="1">
      <c r="A165" s="38" t="s">
        <v>561</v>
      </c>
      <c r="B165" s="21">
        <v>46073.0</v>
      </c>
      <c r="C165" s="30" t="s">
        <v>54</v>
      </c>
      <c r="D165" s="19" t="s">
        <v>164</v>
      </c>
      <c r="E165" s="19" t="s">
        <v>562</v>
      </c>
      <c r="F165" s="30" t="s">
        <v>11</v>
      </c>
      <c r="G165" s="30" t="s">
        <v>42</v>
      </c>
      <c r="H165" s="32">
        <v>-14.97</v>
      </c>
      <c r="I165" s="40">
        <v>8.0</v>
      </c>
      <c r="J165" s="40" t="s">
        <v>563</v>
      </c>
      <c r="K165" s="37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</row>
    <row r="166" ht="22.5" customHeight="1">
      <c r="A166" s="38" t="s">
        <v>564</v>
      </c>
      <c r="B166" s="21">
        <v>46073.0</v>
      </c>
      <c r="C166" s="30" t="s">
        <v>54</v>
      </c>
      <c r="D166" s="19" t="s">
        <v>164</v>
      </c>
      <c r="E166" s="19" t="s">
        <v>386</v>
      </c>
      <c r="F166" s="30" t="s">
        <v>11</v>
      </c>
      <c r="G166" s="30" t="s">
        <v>42</v>
      </c>
      <c r="H166" s="32">
        <v>-4.07</v>
      </c>
      <c r="I166" s="40">
        <v>0.38</v>
      </c>
      <c r="J166" s="40" t="s">
        <v>188</v>
      </c>
      <c r="K166" s="37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</row>
    <row r="167" ht="22.5" customHeight="1">
      <c r="A167" s="38" t="s">
        <v>565</v>
      </c>
      <c r="B167" s="21">
        <v>46073.0</v>
      </c>
      <c r="C167" s="30" t="s">
        <v>54</v>
      </c>
      <c r="D167" s="19" t="s">
        <v>164</v>
      </c>
      <c r="E167" s="19" t="s">
        <v>402</v>
      </c>
      <c r="F167" s="30" t="s">
        <v>11</v>
      </c>
      <c r="G167" s="30" t="s">
        <v>42</v>
      </c>
      <c r="H167" s="32">
        <v>-7.07</v>
      </c>
      <c r="I167" s="40">
        <v>2.0</v>
      </c>
      <c r="J167" s="40" t="s">
        <v>343</v>
      </c>
      <c r="K167" s="37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</row>
    <row r="168" ht="22.5" customHeight="1">
      <c r="A168" s="38" t="s">
        <v>566</v>
      </c>
      <c r="B168" s="21">
        <v>46073.0</v>
      </c>
      <c r="C168" s="30" t="s">
        <v>34</v>
      </c>
      <c r="D168" s="19" t="s">
        <v>321</v>
      </c>
      <c r="E168" s="19" t="s">
        <v>321</v>
      </c>
      <c r="F168" s="30" t="s">
        <v>103</v>
      </c>
      <c r="G168" s="30" t="s">
        <v>279</v>
      </c>
      <c r="H168" s="32">
        <v>-846.34</v>
      </c>
      <c r="I168" s="40"/>
      <c r="J168" s="40"/>
      <c r="K168" s="37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</row>
    <row r="169" ht="22.5" customHeight="1">
      <c r="A169" s="38" t="s">
        <v>567</v>
      </c>
      <c r="B169" s="21">
        <v>46073.0</v>
      </c>
      <c r="C169" s="30" t="s">
        <v>54</v>
      </c>
      <c r="D169" s="19" t="s">
        <v>321</v>
      </c>
      <c r="E169" s="19" t="s">
        <v>321</v>
      </c>
      <c r="F169" s="30" t="s">
        <v>103</v>
      </c>
      <c r="G169" s="30" t="s">
        <v>105</v>
      </c>
      <c r="H169" s="32">
        <v>846.34</v>
      </c>
      <c r="I169" s="40"/>
      <c r="J169" s="40"/>
      <c r="K169" s="37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</row>
    <row r="170" ht="22.5" customHeight="1">
      <c r="A170" s="38" t="s">
        <v>568</v>
      </c>
      <c r="B170" s="21">
        <v>46073.0</v>
      </c>
      <c r="C170" s="30" t="s">
        <v>54</v>
      </c>
      <c r="D170" s="19" t="s">
        <v>385</v>
      </c>
      <c r="E170" s="19" t="s">
        <v>414</v>
      </c>
      <c r="F170" s="30" t="s">
        <v>11</v>
      </c>
      <c r="G170" s="30" t="s">
        <v>42</v>
      </c>
      <c r="H170" s="32">
        <v>-5.47</v>
      </c>
      <c r="I170" s="40">
        <v>2.27</v>
      </c>
      <c r="J170" s="40" t="s">
        <v>188</v>
      </c>
      <c r="K170" s="37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</row>
    <row r="171" ht="22.5" customHeight="1">
      <c r="A171" s="38" t="s">
        <v>569</v>
      </c>
      <c r="B171" s="21">
        <v>46073.0</v>
      </c>
      <c r="C171" s="30" t="s">
        <v>54</v>
      </c>
      <c r="D171" s="19" t="s">
        <v>385</v>
      </c>
      <c r="E171" s="19" t="s">
        <v>570</v>
      </c>
      <c r="F171" s="30" t="s">
        <v>11</v>
      </c>
      <c r="G171" s="30" t="s">
        <v>42</v>
      </c>
      <c r="H171" s="32">
        <v>-17.04</v>
      </c>
      <c r="I171" s="40">
        <v>1.75</v>
      </c>
      <c r="J171" s="40" t="s">
        <v>188</v>
      </c>
      <c r="K171" s="37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</row>
    <row r="172" ht="22.5" customHeight="1">
      <c r="A172" s="38" t="s">
        <v>571</v>
      </c>
      <c r="B172" s="21">
        <v>46074.0</v>
      </c>
      <c r="C172" s="30" t="s">
        <v>54</v>
      </c>
      <c r="D172" s="19" t="s">
        <v>475</v>
      </c>
      <c r="E172" s="19" t="s">
        <v>572</v>
      </c>
      <c r="F172" s="30" t="s">
        <v>11</v>
      </c>
      <c r="G172" s="30" t="s">
        <v>42</v>
      </c>
      <c r="H172" s="32">
        <v>-13.16</v>
      </c>
      <c r="I172" s="40">
        <v>4.0</v>
      </c>
      <c r="J172" s="40" t="s">
        <v>399</v>
      </c>
      <c r="K172" s="37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</row>
    <row r="173" ht="22.5" customHeight="1">
      <c r="A173" s="38" t="s">
        <v>573</v>
      </c>
      <c r="B173" s="21">
        <v>46074.0</v>
      </c>
      <c r="C173" s="30" t="s">
        <v>54</v>
      </c>
      <c r="D173" s="19" t="s">
        <v>475</v>
      </c>
      <c r="E173" s="19" t="s">
        <v>574</v>
      </c>
      <c r="F173" s="30" t="s">
        <v>11</v>
      </c>
      <c r="G173" s="30" t="s">
        <v>42</v>
      </c>
      <c r="H173" s="32">
        <v>-10.11</v>
      </c>
      <c r="I173" s="40">
        <v>0.72</v>
      </c>
      <c r="J173" s="40" t="s">
        <v>188</v>
      </c>
      <c r="K173" s="37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</row>
    <row r="174" ht="22.5" customHeight="1">
      <c r="A174" s="38" t="s">
        <v>575</v>
      </c>
      <c r="B174" s="21">
        <v>46074.0</v>
      </c>
      <c r="C174" s="30" t="s">
        <v>54</v>
      </c>
      <c r="D174" s="19" t="s">
        <v>475</v>
      </c>
      <c r="E174" s="19" t="s">
        <v>237</v>
      </c>
      <c r="F174" s="30" t="s">
        <v>11</v>
      </c>
      <c r="G174" s="30" t="s">
        <v>42</v>
      </c>
      <c r="H174" s="32">
        <v>-6.27</v>
      </c>
      <c r="I174" s="40">
        <v>1.661</v>
      </c>
      <c r="J174" s="40" t="s">
        <v>188</v>
      </c>
      <c r="K174" s="37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</row>
    <row r="175" ht="22.5" customHeight="1">
      <c r="A175" s="38" t="s">
        <v>576</v>
      </c>
      <c r="B175" s="21">
        <v>46074.0</v>
      </c>
      <c r="C175" s="30" t="s">
        <v>54</v>
      </c>
      <c r="D175" s="19" t="s">
        <v>577</v>
      </c>
      <c r="E175" s="19" t="s">
        <v>578</v>
      </c>
      <c r="F175" s="30" t="s">
        <v>35</v>
      </c>
      <c r="G175" s="30" t="s">
        <v>283</v>
      </c>
      <c r="H175" s="32">
        <v>-145.6</v>
      </c>
      <c r="I175" s="35"/>
      <c r="J175" s="35"/>
      <c r="K175" s="37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</row>
    <row r="176" ht="22.5" customHeight="1">
      <c r="A176" s="38" t="s">
        <v>579</v>
      </c>
      <c r="B176" s="21">
        <v>46074.0</v>
      </c>
      <c r="C176" s="30" t="s">
        <v>54</v>
      </c>
      <c r="D176" s="19" t="s">
        <v>580</v>
      </c>
      <c r="E176" s="19" t="s">
        <v>581</v>
      </c>
      <c r="F176" s="30" t="s">
        <v>35</v>
      </c>
      <c r="G176" s="30" t="s">
        <v>251</v>
      </c>
      <c r="H176" s="32">
        <v>-47.85</v>
      </c>
      <c r="I176" s="35"/>
      <c r="J176" s="35"/>
      <c r="K176" s="37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</row>
    <row r="177" ht="22.5" customHeight="1">
      <c r="A177" s="38" t="s">
        <v>582</v>
      </c>
      <c r="B177" s="21">
        <v>46075.0</v>
      </c>
      <c r="C177" s="30" t="s">
        <v>54</v>
      </c>
      <c r="D177" s="19" t="s">
        <v>475</v>
      </c>
      <c r="E177" s="19" t="s">
        <v>398</v>
      </c>
      <c r="F177" s="30" t="s">
        <v>11</v>
      </c>
      <c r="G177" s="30" t="s">
        <v>42</v>
      </c>
      <c r="H177" s="32">
        <v>-2.98</v>
      </c>
      <c r="I177" s="40">
        <v>1.0</v>
      </c>
      <c r="J177" s="40" t="s">
        <v>399</v>
      </c>
      <c r="K177" s="37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</row>
    <row r="178" ht="22.5" customHeight="1">
      <c r="A178" s="38" t="s">
        <v>583</v>
      </c>
      <c r="B178" s="21">
        <v>46075.0</v>
      </c>
      <c r="C178" s="30" t="s">
        <v>54</v>
      </c>
      <c r="D178" s="19" t="s">
        <v>475</v>
      </c>
      <c r="E178" s="19" t="s">
        <v>574</v>
      </c>
      <c r="F178" s="30" t="s">
        <v>11</v>
      </c>
      <c r="G178" s="30" t="s">
        <v>42</v>
      </c>
      <c r="H178" s="32">
        <v>-12.65</v>
      </c>
      <c r="I178" s="40">
        <v>0.98</v>
      </c>
      <c r="J178" s="40" t="s">
        <v>188</v>
      </c>
      <c r="K178" s="37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</row>
    <row r="179" ht="22.5" customHeight="1">
      <c r="A179" s="38" t="s">
        <v>584</v>
      </c>
      <c r="B179" s="21">
        <v>46075.0</v>
      </c>
      <c r="C179" s="30" t="s">
        <v>54</v>
      </c>
      <c r="D179" s="19" t="s">
        <v>475</v>
      </c>
      <c r="E179" s="19" t="s">
        <v>394</v>
      </c>
      <c r="F179" s="30" t="s">
        <v>11</v>
      </c>
      <c r="G179" s="30" t="s">
        <v>42</v>
      </c>
      <c r="H179" s="32">
        <v>-6.46</v>
      </c>
      <c r="I179" s="40">
        <v>1.4</v>
      </c>
      <c r="J179" s="40" t="s">
        <v>188</v>
      </c>
      <c r="K179" s="37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</row>
    <row r="180" ht="22.5" customHeight="1">
      <c r="A180" s="38" t="s">
        <v>585</v>
      </c>
      <c r="B180" s="21">
        <v>46075.0</v>
      </c>
      <c r="C180" s="30" t="s">
        <v>54</v>
      </c>
      <c r="D180" s="19" t="s">
        <v>475</v>
      </c>
      <c r="E180" s="19" t="s">
        <v>586</v>
      </c>
      <c r="F180" s="30" t="s">
        <v>11</v>
      </c>
      <c r="G180" s="30" t="s">
        <v>42</v>
      </c>
      <c r="H180" s="32">
        <v>-5.52</v>
      </c>
      <c r="I180" s="40">
        <v>1.951</v>
      </c>
      <c r="J180" s="40" t="s">
        <v>188</v>
      </c>
      <c r="K180" s="37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</row>
    <row r="181" ht="22.5" customHeight="1">
      <c r="A181" s="38" t="s">
        <v>587</v>
      </c>
      <c r="B181" s="21">
        <v>46076.0</v>
      </c>
      <c r="C181" s="30" t="s">
        <v>134</v>
      </c>
      <c r="D181" s="19" t="s">
        <v>419</v>
      </c>
      <c r="E181" s="19" t="s">
        <v>15</v>
      </c>
      <c r="F181" s="30" t="s">
        <v>11</v>
      </c>
      <c r="G181" s="30" t="s">
        <v>8</v>
      </c>
      <c r="H181" s="32">
        <v>-145.6</v>
      </c>
      <c r="I181" s="35"/>
      <c r="J181" s="35"/>
      <c r="K181" s="37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</row>
    <row r="182" ht="22.5" customHeight="1">
      <c r="A182" s="38" t="s">
        <v>588</v>
      </c>
      <c r="B182" s="21">
        <v>46078.0</v>
      </c>
      <c r="C182" s="30" t="s">
        <v>134</v>
      </c>
      <c r="D182" s="19" t="s">
        <v>589</v>
      </c>
      <c r="E182" s="19" t="s">
        <v>590</v>
      </c>
      <c r="F182" s="30" t="s">
        <v>51</v>
      </c>
      <c r="G182" s="30" t="s">
        <v>283</v>
      </c>
      <c r="H182" s="32">
        <v>-24.99</v>
      </c>
      <c r="I182" s="35"/>
      <c r="J182" s="35"/>
      <c r="K182" s="37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</row>
    <row r="183" ht="22.5" customHeight="1">
      <c r="A183" s="38" t="s">
        <v>591</v>
      </c>
      <c r="B183" s="21">
        <v>46079.0</v>
      </c>
      <c r="C183" s="30" t="s">
        <v>34</v>
      </c>
      <c r="D183" s="41" t="s">
        <v>69</v>
      </c>
      <c r="E183" s="19" t="s">
        <v>70</v>
      </c>
      <c r="F183" s="30" t="s">
        <v>6</v>
      </c>
      <c r="G183" s="30" t="s">
        <v>70</v>
      </c>
      <c r="H183" s="32">
        <v>2010.98</v>
      </c>
      <c r="I183" s="35"/>
      <c r="J183" s="35"/>
      <c r="K183" s="37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</row>
    <row r="184" ht="22.5" customHeight="1">
      <c r="A184" s="38" t="s">
        <v>592</v>
      </c>
      <c r="B184" s="21">
        <v>46079.0</v>
      </c>
      <c r="C184" s="30" t="s">
        <v>34</v>
      </c>
      <c r="D184" s="49" t="s">
        <v>78</v>
      </c>
      <c r="E184" s="42" t="s">
        <v>70</v>
      </c>
      <c r="F184" s="30" t="s">
        <v>6</v>
      </c>
      <c r="G184" s="30" t="s">
        <v>70</v>
      </c>
      <c r="H184" s="32">
        <v>1560.23</v>
      </c>
      <c r="I184" s="35"/>
      <c r="J184" s="35"/>
      <c r="K184" s="37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</row>
    <row r="185" ht="22.5" customHeight="1">
      <c r="A185" s="38" t="s">
        <v>593</v>
      </c>
      <c r="B185" s="21">
        <v>46080.0</v>
      </c>
      <c r="C185" s="30" t="s">
        <v>54</v>
      </c>
      <c r="D185" s="19" t="s">
        <v>429</v>
      </c>
      <c r="E185" s="19" t="s">
        <v>335</v>
      </c>
      <c r="F185" s="30" t="s">
        <v>35</v>
      </c>
      <c r="G185" s="30" t="s">
        <v>294</v>
      </c>
      <c r="H185" s="32">
        <v>-4.47</v>
      </c>
      <c r="I185" s="35"/>
      <c r="J185" s="35"/>
      <c r="K185" s="37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</row>
    <row r="186" ht="22.5" customHeight="1">
      <c r="A186" s="38" t="s">
        <v>594</v>
      </c>
      <c r="B186" s="21">
        <v>46080.0</v>
      </c>
      <c r="C186" s="30" t="s">
        <v>34</v>
      </c>
      <c r="D186" s="19" t="s">
        <v>321</v>
      </c>
      <c r="E186" s="19" t="s">
        <v>321</v>
      </c>
      <c r="F186" s="30" t="s">
        <v>103</v>
      </c>
      <c r="G186" s="30" t="s">
        <v>279</v>
      </c>
      <c r="H186" s="32">
        <v>-277.58</v>
      </c>
      <c r="I186" s="35"/>
      <c r="J186" s="35"/>
      <c r="K186" s="37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</row>
    <row r="187" ht="22.5" customHeight="1">
      <c r="A187" s="38" t="s">
        <v>595</v>
      </c>
      <c r="B187" s="21">
        <v>46080.0</v>
      </c>
      <c r="C187" s="30" t="s">
        <v>54</v>
      </c>
      <c r="D187" s="19" t="s">
        <v>321</v>
      </c>
      <c r="E187" s="19" t="s">
        <v>321</v>
      </c>
      <c r="F187" s="30" t="s">
        <v>103</v>
      </c>
      <c r="G187" s="30" t="s">
        <v>105</v>
      </c>
      <c r="H187" s="32">
        <v>277.58</v>
      </c>
      <c r="I187" s="35"/>
      <c r="J187" s="35"/>
      <c r="K187" s="37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</row>
    <row r="188" ht="22.5" customHeight="1">
      <c r="A188" s="38" t="s">
        <v>596</v>
      </c>
      <c r="B188" s="21">
        <v>46081.0</v>
      </c>
      <c r="C188" s="30" t="s">
        <v>54</v>
      </c>
      <c r="D188" s="19" t="s">
        <v>597</v>
      </c>
      <c r="E188" s="19" t="s">
        <v>598</v>
      </c>
      <c r="F188" s="30" t="s">
        <v>35</v>
      </c>
      <c r="G188" s="30" t="s">
        <v>251</v>
      </c>
      <c r="H188" s="32">
        <v>-36.2</v>
      </c>
      <c r="I188" s="35"/>
      <c r="J188" s="35"/>
      <c r="K188" s="37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</row>
    <row r="189" ht="22.5" customHeight="1">
      <c r="A189" s="38" t="s">
        <v>599</v>
      </c>
      <c r="B189" s="21">
        <v>46081.0</v>
      </c>
      <c r="C189" s="30" t="s">
        <v>54</v>
      </c>
      <c r="D189" s="19" t="s">
        <v>164</v>
      </c>
      <c r="E189" s="19" t="s">
        <v>354</v>
      </c>
      <c r="F189" s="30" t="s">
        <v>11</v>
      </c>
      <c r="G189" s="30" t="s">
        <v>42</v>
      </c>
      <c r="H189" s="32">
        <v>-4.29</v>
      </c>
      <c r="I189" s="40">
        <v>12.0</v>
      </c>
      <c r="J189" s="40" t="s">
        <v>355</v>
      </c>
      <c r="K189" s="37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</row>
    <row r="190" ht="22.5" customHeight="1">
      <c r="A190" s="38" t="s">
        <v>600</v>
      </c>
      <c r="B190" s="21">
        <v>46081.0</v>
      </c>
      <c r="C190" s="30" t="s">
        <v>54</v>
      </c>
      <c r="D190" s="19" t="s">
        <v>164</v>
      </c>
      <c r="E190" s="19" t="s">
        <v>185</v>
      </c>
      <c r="F190" s="30" t="s">
        <v>11</v>
      </c>
      <c r="G190" s="30" t="s">
        <v>42</v>
      </c>
      <c r="H190" s="32">
        <v>-8.49</v>
      </c>
      <c r="I190" s="40">
        <v>0.75</v>
      </c>
      <c r="J190" s="40" t="s">
        <v>188</v>
      </c>
      <c r="K190" s="37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</row>
    <row r="191" ht="22.5" customHeight="1">
      <c r="A191" s="38" t="s">
        <v>601</v>
      </c>
      <c r="B191" s="21">
        <v>46081.0</v>
      </c>
      <c r="C191" s="30" t="s">
        <v>54</v>
      </c>
      <c r="D191" s="19" t="s">
        <v>164</v>
      </c>
      <c r="E191" s="19" t="s">
        <v>602</v>
      </c>
      <c r="F191" s="30" t="s">
        <v>11</v>
      </c>
      <c r="G191" s="30" t="s">
        <v>42</v>
      </c>
      <c r="H191" s="32">
        <v>-26.58</v>
      </c>
      <c r="I191" s="40">
        <v>1.826</v>
      </c>
      <c r="J191" s="40" t="s">
        <v>188</v>
      </c>
      <c r="K191" s="37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</row>
    <row r="192" ht="22.5" customHeight="1">
      <c r="A192" s="38" t="s">
        <v>603</v>
      </c>
      <c r="B192" s="21">
        <v>46081.0</v>
      </c>
      <c r="C192" s="30" t="s">
        <v>54</v>
      </c>
      <c r="D192" s="19" t="s">
        <v>164</v>
      </c>
      <c r="E192" s="19" t="s">
        <v>165</v>
      </c>
      <c r="F192" s="30" t="s">
        <v>11</v>
      </c>
      <c r="G192" s="30" t="s">
        <v>42</v>
      </c>
      <c r="H192" s="32">
        <v>-11.99</v>
      </c>
      <c r="I192" s="40">
        <v>0.946</v>
      </c>
      <c r="J192" s="40" t="s">
        <v>166</v>
      </c>
      <c r="K192" s="37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</row>
    <row r="193" ht="22.5" customHeight="1">
      <c r="A193" s="38" t="s">
        <v>604</v>
      </c>
      <c r="B193" s="21">
        <v>46081.0</v>
      </c>
      <c r="C193" s="30" t="s">
        <v>54</v>
      </c>
      <c r="D193" s="19" t="s">
        <v>164</v>
      </c>
      <c r="E193" s="19" t="s">
        <v>213</v>
      </c>
      <c r="F193" s="30" t="s">
        <v>11</v>
      </c>
      <c r="G193" s="30" t="s">
        <v>42</v>
      </c>
      <c r="H193" s="32">
        <v>-29.12</v>
      </c>
      <c r="I193" s="40">
        <v>1.706</v>
      </c>
      <c r="J193" s="40" t="s">
        <v>188</v>
      </c>
      <c r="K193" s="37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</row>
    <row r="194" ht="22.5" customHeight="1">
      <c r="A194" s="38" t="s">
        <v>605</v>
      </c>
      <c r="B194" s="21">
        <v>46081.0</v>
      </c>
      <c r="C194" s="30" t="s">
        <v>54</v>
      </c>
      <c r="D194" s="19" t="s">
        <v>164</v>
      </c>
      <c r="E194" s="19" t="s">
        <v>180</v>
      </c>
      <c r="F194" s="30" t="s">
        <v>11</v>
      </c>
      <c r="G194" s="30" t="s">
        <v>42</v>
      </c>
      <c r="H194" s="32">
        <v>-7.33</v>
      </c>
      <c r="I194" s="40"/>
      <c r="J194" s="40"/>
      <c r="K194" s="37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</row>
    <row r="195" ht="22.5" customHeight="1">
      <c r="A195" s="38" t="s">
        <v>606</v>
      </c>
      <c r="B195" s="21">
        <v>46081.0</v>
      </c>
      <c r="C195" s="30" t="s">
        <v>54</v>
      </c>
      <c r="D195" s="19" t="s">
        <v>607</v>
      </c>
      <c r="E195" s="19" t="s">
        <v>608</v>
      </c>
      <c r="F195" s="30" t="s">
        <v>11</v>
      </c>
      <c r="G195" s="30" t="s">
        <v>42</v>
      </c>
      <c r="H195" s="32">
        <v>-16.63</v>
      </c>
      <c r="I195" s="40">
        <v>0.75</v>
      </c>
      <c r="J195" s="40" t="s">
        <v>166</v>
      </c>
      <c r="K195" s="37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</row>
    <row r="196" ht="22.5" customHeight="1">
      <c r="A196" s="38" t="s">
        <v>609</v>
      </c>
      <c r="B196" s="21">
        <v>46081.0</v>
      </c>
      <c r="C196" s="30" t="s">
        <v>34</v>
      </c>
      <c r="D196" s="19" t="s">
        <v>321</v>
      </c>
      <c r="E196" s="19" t="s">
        <v>321</v>
      </c>
      <c r="F196" s="30" t="s">
        <v>103</v>
      </c>
      <c r="G196" s="30" t="s">
        <v>279</v>
      </c>
      <c r="H196" s="32">
        <v>-530.3</v>
      </c>
      <c r="I196" s="35"/>
      <c r="J196" s="35"/>
      <c r="K196" s="37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</row>
    <row r="197" ht="22.5" customHeight="1">
      <c r="A197" s="38" t="s">
        <v>610</v>
      </c>
      <c r="B197" s="21">
        <v>46081.0</v>
      </c>
      <c r="C197" s="30" t="s">
        <v>134</v>
      </c>
      <c r="D197" s="19" t="s">
        <v>321</v>
      </c>
      <c r="E197" s="19" t="s">
        <v>321</v>
      </c>
      <c r="F197" s="30" t="s">
        <v>103</v>
      </c>
      <c r="G197" s="30" t="s">
        <v>105</v>
      </c>
      <c r="H197" s="32">
        <v>530.3</v>
      </c>
      <c r="I197" s="35"/>
      <c r="J197" s="35"/>
      <c r="K197" s="37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</row>
    <row r="198" ht="22.5" customHeight="1">
      <c r="A198" s="38" t="s">
        <v>611</v>
      </c>
      <c r="B198" s="21">
        <v>46081.0</v>
      </c>
      <c r="C198" s="30" t="s">
        <v>34</v>
      </c>
      <c r="D198" s="19" t="s">
        <v>456</v>
      </c>
      <c r="E198" s="19" t="s">
        <v>456</v>
      </c>
      <c r="F198" s="30" t="s">
        <v>22</v>
      </c>
      <c r="G198" s="30" t="s">
        <v>92</v>
      </c>
      <c r="H198" s="32">
        <v>-250.0</v>
      </c>
      <c r="I198" s="40"/>
      <c r="J198" s="40"/>
      <c r="K198" s="37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</row>
    <row r="199" ht="22.5" customHeight="1">
      <c r="A199" s="38" t="s">
        <v>612</v>
      </c>
      <c r="B199" s="21">
        <v>46081.0</v>
      </c>
      <c r="C199" s="30" t="s">
        <v>102</v>
      </c>
      <c r="D199" s="19" t="s">
        <v>456</v>
      </c>
      <c r="E199" s="19" t="s">
        <v>456</v>
      </c>
      <c r="F199" s="30" t="s">
        <v>103</v>
      </c>
      <c r="G199" s="30" t="s">
        <v>105</v>
      </c>
      <c r="H199" s="32">
        <v>250.0</v>
      </c>
      <c r="I199" s="40"/>
      <c r="J199" s="40"/>
      <c r="K199" s="37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</row>
    <row r="200" ht="22.5" customHeight="1">
      <c r="A200" s="38" t="s">
        <v>613</v>
      </c>
      <c r="B200" s="21">
        <v>46081.0</v>
      </c>
      <c r="C200" s="30" t="s">
        <v>34</v>
      </c>
      <c r="D200" s="19" t="s">
        <v>456</v>
      </c>
      <c r="E200" s="19" t="s">
        <v>456</v>
      </c>
      <c r="F200" s="30" t="s">
        <v>22</v>
      </c>
      <c r="G200" s="30" t="s">
        <v>92</v>
      </c>
      <c r="H200" s="32">
        <v>-304.33</v>
      </c>
      <c r="I200" s="40"/>
      <c r="J200" s="40"/>
      <c r="K200" s="37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</row>
    <row r="201" ht="22.5" customHeight="1">
      <c r="A201" s="38" t="s">
        <v>614</v>
      </c>
      <c r="B201" s="21">
        <v>46081.0</v>
      </c>
      <c r="C201" s="30" t="s">
        <v>121</v>
      </c>
      <c r="D201" s="19" t="s">
        <v>456</v>
      </c>
      <c r="E201" s="19" t="s">
        <v>456</v>
      </c>
      <c r="F201" s="30" t="s">
        <v>103</v>
      </c>
      <c r="G201" s="30" t="s">
        <v>105</v>
      </c>
      <c r="H201" s="32">
        <v>304.33</v>
      </c>
      <c r="I201" s="40"/>
      <c r="J201" s="40"/>
      <c r="K201" s="37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</row>
    <row r="202" ht="22.5" customHeight="1">
      <c r="A202" s="38" t="s">
        <v>615</v>
      </c>
      <c r="B202" s="21">
        <v>46081.0</v>
      </c>
      <c r="C202" s="128" t="s">
        <v>145</v>
      </c>
      <c r="D202" s="19" t="s">
        <v>331</v>
      </c>
      <c r="E202" s="129" t="s">
        <v>285</v>
      </c>
      <c r="F202" s="128" t="s">
        <v>6</v>
      </c>
      <c r="G202" s="128" t="s">
        <v>285</v>
      </c>
      <c r="H202" s="32">
        <v>6.2</v>
      </c>
      <c r="I202" s="40"/>
      <c r="J202" s="40"/>
      <c r="K202" s="37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</row>
    <row r="203" ht="22.5" customHeight="1">
      <c r="A203" s="38" t="s">
        <v>616</v>
      </c>
      <c r="B203" s="21">
        <v>46081.0</v>
      </c>
      <c r="C203" s="130" t="s">
        <v>52</v>
      </c>
      <c r="D203" s="19" t="s">
        <v>331</v>
      </c>
      <c r="E203" s="131" t="s">
        <v>469</v>
      </c>
      <c r="F203" s="128" t="s">
        <v>6</v>
      </c>
      <c r="G203" s="130" t="s">
        <v>280</v>
      </c>
      <c r="H203" s="32">
        <v>37.02</v>
      </c>
      <c r="I203" s="40"/>
      <c r="J203" s="40"/>
      <c r="K203" s="37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</row>
    <row r="204" ht="22.5" customHeight="1">
      <c r="A204" s="38" t="s">
        <v>617</v>
      </c>
      <c r="B204" s="21">
        <v>46082.0</v>
      </c>
      <c r="C204" s="30" t="s">
        <v>134</v>
      </c>
      <c r="D204" s="19" t="s">
        <v>56</v>
      </c>
      <c r="E204" s="42" t="s">
        <v>33</v>
      </c>
      <c r="F204" s="30" t="s">
        <v>11</v>
      </c>
      <c r="G204" s="30" t="s">
        <v>8</v>
      </c>
      <c r="H204" s="43">
        <v>-24.51</v>
      </c>
      <c r="I204" s="35"/>
      <c r="J204" s="35"/>
      <c r="K204" s="37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</row>
    <row r="205" ht="22.5" customHeight="1">
      <c r="A205" s="38" t="s">
        <v>618</v>
      </c>
      <c r="B205" s="21">
        <v>46082.0</v>
      </c>
      <c r="C205" s="30" t="s">
        <v>54</v>
      </c>
      <c r="D205" s="19" t="s">
        <v>164</v>
      </c>
      <c r="E205" s="19" t="s">
        <v>224</v>
      </c>
      <c r="F205" s="30" t="s">
        <v>11</v>
      </c>
      <c r="G205" s="30" t="s">
        <v>42</v>
      </c>
      <c r="H205" s="32">
        <v>-4.44</v>
      </c>
      <c r="I205" s="40">
        <v>2.0</v>
      </c>
      <c r="J205" s="40" t="s">
        <v>170</v>
      </c>
      <c r="K205" s="37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</row>
    <row r="206" ht="22.5" customHeight="1">
      <c r="A206" s="38" t="s">
        <v>619</v>
      </c>
      <c r="B206" s="21">
        <v>46082.0</v>
      </c>
      <c r="C206" s="30" t="s">
        <v>54</v>
      </c>
      <c r="D206" s="19" t="s">
        <v>164</v>
      </c>
      <c r="E206" s="19" t="s">
        <v>342</v>
      </c>
      <c r="F206" s="30" t="s">
        <v>11</v>
      </c>
      <c r="G206" s="30" t="s">
        <v>42</v>
      </c>
      <c r="H206" s="32">
        <v>-8.09</v>
      </c>
      <c r="I206" s="40">
        <v>24.0</v>
      </c>
      <c r="J206" s="40" t="s">
        <v>343</v>
      </c>
      <c r="K206" s="37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</row>
    <row r="207" ht="22.5" customHeight="1">
      <c r="A207" s="38" t="s">
        <v>620</v>
      </c>
      <c r="B207" s="21">
        <v>46082.0</v>
      </c>
      <c r="C207" s="30" t="s">
        <v>54</v>
      </c>
      <c r="D207" s="19" t="s">
        <v>164</v>
      </c>
      <c r="E207" s="19" t="s">
        <v>237</v>
      </c>
      <c r="F207" s="30" t="s">
        <v>11</v>
      </c>
      <c r="G207" s="30" t="s">
        <v>42</v>
      </c>
      <c r="H207" s="32">
        <v>-5.28</v>
      </c>
      <c r="I207" s="40">
        <v>1.253</v>
      </c>
      <c r="J207" s="40" t="s">
        <v>188</v>
      </c>
      <c r="K207" s="37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</row>
    <row r="208" ht="22.5" customHeight="1">
      <c r="A208" s="38" t="s">
        <v>621</v>
      </c>
      <c r="B208" s="21">
        <v>46082.0</v>
      </c>
      <c r="C208" s="30" t="s">
        <v>54</v>
      </c>
      <c r="D208" s="19" t="s">
        <v>164</v>
      </c>
      <c r="E208" s="19" t="s">
        <v>622</v>
      </c>
      <c r="F208" s="30" t="s">
        <v>11</v>
      </c>
      <c r="G208" s="30" t="s">
        <v>42</v>
      </c>
      <c r="H208" s="32">
        <v>-7.21</v>
      </c>
      <c r="I208" s="40">
        <v>2.0</v>
      </c>
      <c r="J208" s="40" t="s">
        <v>487</v>
      </c>
      <c r="K208" s="37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</row>
    <row r="209" ht="22.5" customHeight="1">
      <c r="A209" s="38" t="s">
        <v>623</v>
      </c>
      <c r="B209" s="21">
        <v>46082.0</v>
      </c>
      <c r="C209" s="30" t="s">
        <v>54</v>
      </c>
      <c r="D209" s="19" t="s">
        <v>164</v>
      </c>
      <c r="E209" s="19" t="s">
        <v>169</v>
      </c>
      <c r="F209" s="30" t="s">
        <v>11</v>
      </c>
      <c r="G209" s="30" t="s">
        <v>42</v>
      </c>
      <c r="H209" s="32">
        <v>-6.0</v>
      </c>
      <c r="I209" s="40">
        <v>2.0</v>
      </c>
      <c r="J209" s="40" t="s">
        <v>170</v>
      </c>
      <c r="K209" s="37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</row>
    <row r="210" ht="22.5" customHeight="1">
      <c r="A210" s="38" t="s">
        <v>624</v>
      </c>
      <c r="B210" s="21">
        <v>46082.0</v>
      </c>
      <c r="C210" s="30" t="s">
        <v>54</v>
      </c>
      <c r="D210" s="19" t="s">
        <v>625</v>
      </c>
      <c r="E210" s="19" t="s">
        <v>626</v>
      </c>
      <c r="F210" s="30" t="s">
        <v>35</v>
      </c>
      <c r="G210" s="30" t="s">
        <v>251</v>
      </c>
      <c r="H210" s="32">
        <v>-55.1</v>
      </c>
      <c r="I210" s="35"/>
      <c r="J210" s="35"/>
      <c r="K210" s="37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</row>
    <row r="211" ht="22.5" customHeight="1">
      <c r="A211" s="38" t="s">
        <v>627</v>
      </c>
      <c r="B211" s="21">
        <v>46082.0</v>
      </c>
      <c r="C211" s="30" t="s">
        <v>54</v>
      </c>
      <c r="D211" s="19" t="s">
        <v>164</v>
      </c>
      <c r="E211" s="19" t="s">
        <v>389</v>
      </c>
      <c r="F211" s="30" t="s">
        <v>11</v>
      </c>
      <c r="G211" s="30" t="s">
        <v>42</v>
      </c>
      <c r="H211" s="32">
        <v>-1.56</v>
      </c>
      <c r="I211" s="40">
        <v>3.0</v>
      </c>
      <c r="J211" s="40" t="s">
        <v>310</v>
      </c>
      <c r="K211" s="37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</row>
    <row r="212" ht="22.5" customHeight="1">
      <c r="A212" s="38" t="s">
        <v>628</v>
      </c>
      <c r="B212" s="21">
        <v>46083.0</v>
      </c>
      <c r="C212" s="30" t="s">
        <v>54</v>
      </c>
      <c r="D212" s="27" t="s">
        <v>147</v>
      </c>
      <c r="E212" s="27" t="s">
        <v>148</v>
      </c>
      <c r="F212" s="30" t="s">
        <v>11</v>
      </c>
      <c r="G212" s="30" t="s">
        <v>62</v>
      </c>
      <c r="H212" s="32">
        <v>-160.0</v>
      </c>
      <c r="I212" s="35"/>
      <c r="J212" s="35"/>
      <c r="K212" s="37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</row>
    <row r="213" ht="22.5" customHeight="1">
      <c r="A213" s="38" t="s">
        <v>629</v>
      </c>
      <c r="B213" s="21">
        <v>46083.0</v>
      </c>
      <c r="C213" s="30" t="s">
        <v>134</v>
      </c>
      <c r="D213" s="27" t="s">
        <v>147</v>
      </c>
      <c r="E213" s="27" t="s">
        <v>148</v>
      </c>
      <c r="F213" s="30" t="s">
        <v>11</v>
      </c>
      <c r="G213" s="30" t="s">
        <v>62</v>
      </c>
      <c r="H213" s="32">
        <v>-100.0</v>
      </c>
      <c r="I213" s="35"/>
      <c r="J213" s="35"/>
      <c r="K213" s="37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</row>
    <row r="214" ht="22.5" customHeight="1">
      <c r="A214" s="38" t="s">
        <v>630</v>
      </c>
      <c r="B214" s="21">
        <v>46083.0</v>
      </c>
      <c r="C214" s="30" t="s">
        <v>34</v>
      </c>
      <c r="D214" s="27" t="s">
        <v>37</v>
      </c>
      <c r="E214" s="19" t="s">
        <v>9</v>
      </c>
      <c r="F214" s="30" t="s">
        <v>11</v>
      </c>
      <c r="G214" s="30" t="s">
        <v>8</v>
      </c>
      <c r="H214" s="32">
        <v>-2300.0</v>
      </c>
      <c r="I214" s="35"/>
      <c r="J214" s="35"/>
      <c r="K214" s="37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</row>
    <row r="215" ht="22.5" customHeight="1">
      <c r="A215" s="38" t="s">
        <v>631</v>
      </c>
      <c r="B215" s="21">
        <v>46085.0</v>
      </c>
      <c r="C215" s="30" t="s">
        <v>134</v>
      </c>
      <c r="D215" s="19" t="s">
        <v>258</v>
      </c>
      <c r="E215" s="19" t="s">
        <v>24</v>
      </c>
      <c r="F215" s="30" t="s">
        <v>11</v>
      </c>
      <c r="G215" s="30" t="s">
        <v>8</v>
      </c>
      <c r="H215" s="32">
        <v>-67.2</v>
      </c>
      <c r="I215" s="35"/>
      <c r="J215" s="35"/>
      <c r="K215" s="37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</row>
    <row r="216" ht="22.5" customHeight="1">
      <c r="A216" s="38" t="s">
        <v>632</v>
      </c>
      <c r="B216" s="21">
        <v>46086.0</v>
      </c>
      <c r="C216" s="30" t="s">
        <v>34</v>
      </c>
      <c r="D216" s="41" t="s">
        <v>69</v>
      </c>
      <c r="E216" s="19" t="s">
        <v>633</v>
      </c>
      <c r="F216" s="30" t="s">
        <v>6</v>
      </c>
      <c r="G216" s="30" t="s">
        <v>70</v>
      </c>
      <c r="H216" s="32">
        <v>3876.09</v>
      </c>
      <c r="I216" s="35"/>
      <c r="J216" s="35"/>
      <c r="K216" s="37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</row>
    <row r="217" ht="22.5" customHeight="1">
      <c r="A217" s="38" t="s">
        <v>634</v>
      </c>
      <c r="B217" s="21">
        <v>46086.0</v>
      </c>
      <c r="C217" s="30" t="s">
        <v>34</v>
      </c>
      <c r="D217" s="49" t="s">
        <v>78</v>
      </c>
      <c r="E217" s="42" t="s">
        <v>70</v>
      </c>
      <c r="F217" s="30" t="s">
        <v>6</v>
      </c>
      <c r="G217" s="30" t="s">
        <v>70</v>
      </c>
      <c r="H217" s="32">
        <v>1560.23</v>
      </c>
      <c r="I217" s="35"/>
      <c r="J217" s="35"/>
      <c r="K217" s="37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</row>
    <row r="218" ht="22.5" customHeight="1">
      <c r="A218" s="38" t="s">
        <v>635</v>
      </c>
      <c r="B218" s="21">
        <v>46086.0</v>
      </c>
      <c r="C218" s="123" t="s">
        <v>34</v>
      </c>
      <c r="D218" s="132" t="s">
        <v>22</v>
      </c>
      <c r="E218" s="132" t="s">
        <v>22</v>
      </c>
      <c r="F218" s="30" t="s">
        <v>22</v>
      </c>
      <c r="G218" s="30" t="s">
        <v>92</v>
      </c>
      <c r="H218" s="32">
        <v>-500.0</v>
      </c>
      <c r="I218" s="113"/>
      <c r="J218" s="113"/>
      <c r="K218" s="133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</row>
    <row r="219" ht="22.5" customHeight="1">
      <c r="A219" s="38" t="s">
        <v>636</v>
      </c>
      <c r="B219" s="21">
        <v>46086.0</v>
      </c>
      <c r="C219" s="30" t="s">
        <v>102</v>
      </c>
      <c r="D219" s="129" t="s">
        <v>22</v>
      </c>
      <c r="E219" s="129" t="s">
        <v>22</v>
      </c>
      <c r="F219" s="128" t="s">
        <v>103</v>
      </c>
      <c r="G219" s="128" t="s">
        <v>105</v>
      </c>
      <c r="H219" s="32">
        <v>500.0</v>
      </c>
      <c r="I219" s="117"/>
      <c r="J219" s="117"/>
      <c r="K219" s="134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</row>
    <row r="220" ht="22.5" customHeight="1">
      <c r="A220" s="38" t="s">
        <v>637</v>
      </c>
      <c r="B220" s="21">
        <v>46086.0</v>
      </c>
      <c r="C220" s="135" t="s">
        <v>34</v>
      </c>
      <c r="D220" s="132" t="s">
        <v>22</v>
      </c>
      <c r="E220" s="132" t="s">
        <v>22</v>
      </c>
      <c r="F220" s="30" t="s">
        <v>22</v>
      </c>
      <c r="G220" s="30" t="s">
        <v>92</v>
      </c>
      <c r="H220" s="119">
        <v>-500.0</v>
      </c>
      <c r="I220" s="113"/>
      <c r="J220" s="113"/>
      <c r="K220" s="133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</row>
    <row r="221" ht="22.5" customHeight="1">
      <c r="A221" s="38" t="s">
        <v>638</v>
      </c>
      <c r="B221" s="21">
        <v>46086.0</v>
      </c>
      <c r="C221" s="30" t="s">
        <v>121</v>
      </c>
      <c r="D221" s="129" t="s">
        <v>22</v>
      </c>
      <c r="E221" s="129" t="s">
        <v>22</v>
      </c>
      <c r="F221" s="128" t="s">
        <v>103</v>
      </c>
      <c r="G221" s="128" t="s">
        <v>105</v>
      </c>
      <c r="H221" s="136">
        <v>500.0</v>
      </c>
      <c r="I221" s="117"/>
      <c r="J221" s="117"/>
      <c r="K221" s="134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</row>
    <row r="222" ht="22.5" customHeight="1">
      <c r="A222" s="38" t="s">
        <v>639</v>
      </c>
      <c r="B222" s="21">
        <v>46086.0</v>
      </c>
      <c r="C222" s="135" t="s">
        <v>34</v>
      </c>
      <c r="D222" s="132" t="s">
        <v>17</v>
      </c>
      <c r="E222" s="132" t="s">
        <v>17</v>
      </c>
      <c r="F222" s="30" t="s">
        <v>17</v>
      </c>
      <c r="G222" s="30" t="s">
        <v>136</v>
      </c>
      <c r="H222" s="32">
        <v>-1000.0</v>
      </c>
      <c r="I222" s="113"/>
      <c r="J222" s="113"/>
      <c r="K222" s="133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</row>
    <row r="223" ht="22.5" customHeight="1">
      <c r="A223" s="38" t="s">
        <v>640</v>
      </c>
      <c r="B223" s="21">
        <v>46086.0</v>
      </c>
      <c r="C223" s="130" t="s">
        <v>52</v>
      </c>
      <c r="D223" s="129" t="s">
        <v>17</v>
      </c>
      <c r="E223" s="129" t="s">
        <v>17</v>
      </c>
      <c r="F223" s="137" t="s">
        <v>103</v>
      </c>
      <c r="G223" s="137" t="s">
        <v>105</v>
      </c>
      <c r="H223" s="32">
        <v>1000.0</v>
      </c>
      <c r="I223" s="117"/>
      <c r="J223" s="117"/>
      <c r="K223" s="134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</row>
    <row r="224" ht="22.5" customHeight="1">
      <c r="A224" s="38" t="s">
        <v>641</v>
      </c>
      <c r="B224" s="21">
        <v>46087.0</v>
      </c>
      <c r="C224" s="30" t="s">
        <v>54</v>
      </c>
      <c r="D224" s="19" t="s">
        <v>475</v>
      </c>
      <c r="E224" s="19" t="s">
        <v>346</v>
      </c>
      <c r="F224" s="30" t="s">
        <v>11</v>
      </c>
      <c r="G224" s="30" t="s">
        <v>42</v>
      </c>
      <c r="H224" s="32">
        <v>-5.64</v>
      </c>
      <c r="I224" s="40">
        <v>1.15</v>
      </c>
      <c r="J224" s="40" t="s">
        <v>188</v>
      </c>
      <c r="K224" s="37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</row>
    <row r="225" ht="22.5" customHeight="1">
      <c r="A225" s="38" t="s">
        <v>642</v>
      </c>
      <c r="B225" s="21">
        <v>46087.0</v>
      </c>
      <c r="C225" s="96" t="s">
        <v>54</v>
      </c>
      <c r="D225" s="19" t="s">
        <v>475</v>
      </c>
      <c r="E225" s="19" t="s">
        <v>643</v>
      </c>
      <c r="F225" s="30" t="s">
        <v>11</v>
      </c>
      <c r="G225" s="30" t="s">
        <v>42</v>
      </c>
      <c r="H225" s="32">
        <v>-19.07</v>
      </c>
      <c r="I225" s="40">
        <v>1.0</v>
      </c>
      <c r="J225" s="40" t="s">
        <v>188</v>
      </c>
      <c r="K225" s="37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</row>
    <row r="226" ht="22.5" customHeight="1">
      <c r="A226" s="38" t="s">
        <v>644</v>
      </c>
      <c r="B226" s="21">
        <v>46087.0</v>
      </c>
      <c r="C226" s="96" t="s">
        <v>54</v>
      </c>
      <c r="D226" s="19" t="s">
        <v>475</v>
      </c>
      <c r="E226" s="19" t="s">
        <v>180</v>
      </c>
      <c r="F226" s="30" t="s">
        <v>11</v>
      </c>
      <c r="G226" s="30" t="s">
        <v>42</v>
      </c>
      <c r="H226" s="32">
        <v>-5.77</v>
      </c>
      <c r="I226" s="40"/>
      <c r="J226" s="40"/>
      <c r="K226" s="37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</row>
    <row r="227" ht="22.5" customHeight="1">
      <c r="A227" s="38" t="s">
        <v>645</v>
      </c>
      <c r="B227" s="21">
        <v>46087.0</v>
      </c>
      <c r="C227" s="30" t="s">
        <v>34</v>
      </c>
      <c r="D227" s="19" t="s">
        <v>321</v>
      </c>
      <c r="E227" s="19" t="s">
        <v>321</v>
      </c>
      <c r="F227" s="30" t="s">
        <v>103</v>
      </c>
      <c r="G227" s="30" t="s">
        <v>279</v>
      </c>
      <c r="H227" s="32">
        <v>-418.79</v>
      </c>
      <c r="I227" s="40"/>
      <c r="J227" s="40"/>
      <c r="K227" s="37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</row>
    <row r="228" ht="22.5" customHeight="1">
      <c r="A228" s="38" t="s">
        <v>646</v>
      </c>
      <c r="B228" s="21">
        <v>46087.0</v>
      </c>
      <c r="C228" s="30" t="s">
        <v>54</v>
      </c>
      <c r="D228" s="19" t="s">
        <v>321</v>
      </c>
      <c r="E228" s="19" t="s">
        <v>321</v>
      </c>
      <c r="F228" s="30" t="s">
        <v>103</v>
      </c>
      <c r="G228" s="30" t="s">
        <v>105</v>
      </c>
      <c r="H228" s="32">
        <v>418.79</v>
      </c>
      <c r="I228" s="40"/>
      <c r="J228" s="40"/>
      <c r="K228" s="37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</row>
    <row r="229" ht="22.5" customHeight="1">
      <c r="A229" s="38" t="s">
        <v>647</v>
      </c>
      <c r="B229" s="21">
        <v>46088.0</v>
      </c>
      <c r="C229" s="30" t="s">
        <v>54</v>
      </c>
      <c r="D229" s="19" t="s">
        <v>648</v>
      </c>
      <c r="E229" s="19" t="s">
        <v>649</v>
      </c>
      <c r="F229" s="30" t="s">
        <v>35</v>
      </c>
      <c r="G229" s="30" t="s">
        <v>277</v>
      </c>
      <c r="H229" s="32">
        <v>-35.0</v>
      </c>
      <c r="I229" s="35"/>
      <c r="J229" s="35"/>
      <c r="K229" s="37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</row>
    <row r="230" ht="22.5" customHeight="1">
      <c r="A230" s="38" t="s">
        <v>650</v>
      </c>
      <c r="B230" s="21">
        <v>46089.0</v>
      </c>
      <c r="C230" s="30" t="s">
        <v>54</v>
      </c>
      <c r="D230" s="19" t="s">
        <v>651</v>
      </c>
      <c r="E230" s="19" t="s">
        <v>652</v>
      </c>
      <c r="F230" s="30" t="s">
        <v>35</v>
      </c>
      <c r="G230" s="30" t="s">
        <v>251</v>
      </c>
      <c r="H230" s="32">
        <v>-62.4</v>
      </c>
      <c r="I230" s="35"/>
      <c r="J230" s="35"/>
      <c r="K230" s="37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</row>
    <row r="231" ht="22.5" customHeight="1">
      <c r="A231" s="38" t="s">
        <v>653</v>
      </c>
      <c r="B231" s="21">
        <v>46091.0</v>
      </c>
      <c r="C231" s="128" t="s">
        <v>142</v>
      </c>
      <c r="D231" s="19" t="s">
        <v>331</v>
      </c>
      <c r="E231" s="129" t="s">
        <v>285</v>
      </c>
      <c r="F231" s="128" t="s">
        <v>6</v>
      </c>
      <c r="G231" s="128" t="s">
        <v>285</v>
      </c>
      <c r="H231" s="32">
        <v>18.1</v>
      </c>
      <c r="I231" s="35"/>
      <c r="J231" s="35"/>
      <c r="K231" s="37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</row>
    <row r="232" ht="22.5" customHeight="1">
      <c r="A232" s="38" t="s">
        <v>654</v>
      </c>
      <c r="B232" s="21">
        <v>46092.0</v>
      </c>
      <c r="C232" s="30" t="s">
        <v>54</v>
      </c>
      <c r="D232" s="19" t="s">
        <v>334</v>
      </c>
      <c r="E232" s="19" t="s">
        <v>335</v>
      </c>
      <c r="F232" s="30" t="s">
        <v>35</v>
      </c>
      <c r="G232" s="30" t="s">
        <v>294</v>
      </c>
      <c r="H232" s="32">
        <v>-20.04</v>
      </c>
      <c r="I232" s="35"/>
      <c r="J232" s="35"/>
      <c r="K232" s="37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</row>
    <row r="233" ht="22.5" customHeight="1">
      <c r="A233" s="38" t="s">
        <v>655</v>
      </c>
      <c r="B233" s="21">
        <v>46092.0</v>
      </c>
      <c r="C233" s="30" t="s">
        <v>34</v>
      </c>
      <c r="D233" s="19" t="s">
        <v>340</v>
      </c>
      <c r="E233" s="19" t="s">
        <v>20</v>
      </c>
      <c r="F233" s="30" t="s">
        <v>11</v>
      </c>
      <c r="G233" s="30" t="s">
        <v>8</v>
      </c>
      <c r="H233" s="32">
        <v>-77.9</v>
      </c>
      <c r="I233" s="35"/>
      <c r="J233" s="35"/>
      <c r="K233" s="37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</row>
    <row r="234" ht="22.5" customHeight="1">
      <c r="A234" s="38" t="s">
        <v>656</v>
      </c>
      <c r="B234" s="21">
        <v>46093.0</v>
      </c>
      <c r="C234" s="101" t="s">
        <v>34</v>
      </c>
      <c r="D234" s="41" t="s">
        <v>69</v>
      </c>
      <c r="E234" s="100" t="s">
        <v>70</v>
      </c>
      <c r="F234" s="101" t="s">
        <v>6</v>
      </c>
      <c r="G234" s="101" t="s">
        <v>70</v>
      </c>
      <c r="H234" s="32">
        <v>2010.98</v>
      </c>
      <c r="I234" s="35"/>
      <c r="J234" s="35"/>
      <c r="K234" s="37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</row>
    <row r="235" ht="22.5" customHeight="1">
      <c r="A235" s="38" t="s">
        <v>657</v>
      </c>
      <c r="B235" s="21">
        <v>46093.0</v>
      </c>
      <c r="C235" s="30" t="s">
        <v>34</v>
      </c>
      <c r="D235" s="49" t="s">
        <v>78</v>
      </c>
      <c r="E235" s="42" t="s">
        <v>70</v>
      </c>
      <c r="F235" s="30" t="s">
        <v>6</v>
      </c>
      <c r="G235" s="30" t="s">
        <v>70</v>
      </c>
      <c r="H235" s="32">
        <v>1560.23</v>
      </c>
      <c r="I235" s="35"/>
      <c r="J235" s="35"/>
      <c r="K235" s="37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</row>
    <row r="236" ht="22.5" customHeight="1">
      <c r="A236" s="38" t="s">
        <v>658</v>
      </c>
      <c r="B236" s="21">
        <v>46093.0</v>
      </c>
      <c r="C236" s="30" t="s">
        <v>54</v>
      </c>
      <c r="D236" s="19" t="s">
        <v>659</v>
      </c>
      <c r="E236" s="19" t="s">
        <v>660</v>
      </c>
      <c r="F236" s="30" t="s">
        <v>44</v>
      </c>
      <c r="G236" s="30" t="s">
        <v>271</v>
      </c>
      <c r="H236" s="32">
        <v>-69.9</v>
      </c>
      <c r="I236" s="35"/>
      <c r="J236" s="35"/>
      <c r="K236" s="37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</row>
    <row r="237" ht="22.5" customHeight="1">
      <c r="A237" s="38" t="s">
        <v>661</v>
      </c>
      <c r="B237" s="21">
        <v>46095.0</v>
      </c>
      <c r="C237" s="30" t="s">
        <v>54</v>
      </c>
      <c r="D237" s="19" t="s">
        <v>662</v>
      </c>
      <c r="E237" s="19" t="s">
        <v>663</v>
      </c>
      <c r="F237" s="30" t="s">
        <v>35</v>
      </c>
      <c r="G237" s="30" t="s">
        <v>303</v>
      </c>
      <c r="H237" s="32">
        <v>-178.5</v>
      </c>
      <c r="I237" s="35"/>
      <c r="J237" s="35"/>
      <c r="K237" s="37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</row>
    <row r="238" ht="22.5" customHeight="1">
      <c r="A238" s="38" t="s">
        <v>664</v>
      </c>
      <c r="B238" s="21">
        <v>46095.0</v>
      </c>
      <c r="C238" s="96" t="s">
        <v>54</v>
      </c>
      <c r="D238" s="19" t="s">
        <v>158</v>
      </c>
      <c r="E238" s="19" t="s">
        <v>665</v>
      </c>
      <c r="F238" s="30" t="s">
        <v>61</v>
      </c>
      <c r="G238" s="30" t="s">
        <v>272</v>
      </c>
      <c r="H238" s="32">
        <v>-30.67</v>
      </c>
      <c r="I238" s="35"/>
      <c r="J238" s="35"/>
      <c r="K238" s="37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</row>
    <row r="239" ht="22.5" customHeight="1">
      <c r="A239" s="38" t="s">
        <v>666</v>
      </c>
      <c r="B239" s="21">
        <v>46095.0</v>
      </c>
      <c r="C239" s="96" t="s">
        <v>54</v>
      </c>
      <c r="D239" s="19" t="s">
        <v>158</v>
      </c>
      <c r="E239" s="19" t="s">
        <v>667</v>
      </c>
      <c r="F239" s="30" t="s">
        <v>61</v>
      </c>
      <c r="G239" s="30" t="s">
        <v>272</v>
      </c>
      <c r="H239" s="32">
        <v>-10.98</v>
      </c>
      <c r="I239" s="35"/>
      <c r="J239" s="35"/>
      <c r="K239" s="37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</row>
    <row r="240" ht="22.5" customHeight="1">
      <c r="A240" s="38" t="s">
        <v>668</v>
      </c>
      <c r="B240" s="21">
        <v>46096.0</v>
      </c>
      <c r="C240" s="30" t="s">
        <v>54</v>
      </c>
      <c r="D240" s="19" t="s">
        <v>669</v>
      </c>
      <c r="E240" s="19" t="s">
        <v>670</v>
      </c>
      <c r="F240" s="30" t="s">
        <v>35</v>
      </c>
      <c r="G240" s="30" t="s">
        <v>303</v>
      </c>
      <c r="H240" s="32">
        <v>-15.0</v>
      </c>
      <c r="I240" s="35"/>
      <c r="J240" s="35"/>
      <c r="K240" s="37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</row>
    <row r="241" ht="22.5" customHeight="1">
      <c r="A241" s="38" t="s">
        <v>671</v>
      </c>
      <c r="B241" s="21">
        <v>46096.0</v>
      </c>
      <c r="C241" s="30" t="s">
        <v>54</v>
      </c>
      <c r="D241" s="19" t="s">
        <v>378</v>
      </c>
      <c r="E241" s="19" t="s">
        <v>672</v>
      </c>
      <c r="F241" s="30" t="s">
        <v>35</v>
      </c>
      <c r="G241" s="30" t="s">
        <v>303</v>
      </c>
      <c r="H241" s="32">
        <v>-52.4</v>
      </c>
      <c r="I241" s="35"/>
      <c r="J241" s="35"/>
      <c r="K241" s="37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</row>
    <row r="242" ht="22.5" customHeight="1">
      <c r="A242" s="38" t="s">
        <v>673</v>
      </c>
      <c r="B242" s="21">
        <v>46096.0</v>
      </c>
      <c r="C242" s="30" t="s">
        <v>54</v>
      </c>
      <c r="D242" s="19" t="s">
        <v>385</v>
      </c>
      <c r="E242" s="19" t="s">
        <v>354</v>
      </c>
      <c r="F242" s="30" t="s">
        <v>11</v>
      </c>
      <c r="G242" s="30" t="s">
        <v>42</v>
      </c>
      <c r="H242" s="32">
        <v>-4.29</v>
      </c>
      <c r="I242" s="40">
        <v>12.0</v>
      </c>
      <c r="J242" s="40" t="s">
        <v>355</v>
      </c>
      <c r="K242" s="37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</row>
    <row r="243" ht="22.5" customHeight="1">
      <c r="A243" s="38" t="s">
        <v>674</v>
      </c>
      <c r="B243" s="21">
        <v>46096.0</v>
      </c>
      <c r="C243" s="30" t="s">
        <v>54</v>
      </c>
      <c r="D243" s="19" t="s">
        <v>385</v>
      </c>
      <c r="E243" s="19" t="s">
        <v>675</v>
      </c>
      <c r="F243" s="30" t="s">
        <v>11</v>
      </c>
      <c r="G243" s="30" t="s">
        <v>42</v>
      </c>
      <c r="H243" s="32">
        <v>-13.16</v>
      </c>
      <c r="I243" s="40">
        <v>0.919</v>
      </c>
      <c r="J243" s="40" t="s">
        <v>188</v>
      </c>
      <c r="K243" s="37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</row>
    <row r="244" ht="22.5" customHeight="1">
      <c r="A244" s="38" t="s">
        <v>676</v>
      </c>
      <c r="B244" s="21">
        <v>46096.0</v>
      </c>
      <c r="C244" s="30" t="s">
        <v>54</v>
      </c>
      <c r="D244" s="19" t="s">
        <v>385</v>
      </c>
      <c r="E244" s="19" t="s">
        <v>677</v>
      </c>
      <c r="F244" s="30" t="s">
        <v>11</v>
      </c>
      <c r="G244" s="30" t="s">
        <v>48</v>
      </c>
      <c r="H244" s="32">
        <f>-19.94-1-1.4</f>
        <v>-22.34</v>
      </c>
      <c r="I244" s="40">
        <v>30.0</v>
      </c>
      <c r="J244" s="40" t="s">
        <v>678</v>
      </c>
      <c r="K244" s="19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</row>
    <row r="245" ht="22.5" customHeight="1">
      <c r="A245" s="38" t="s">
        <v>679</v>
      </c>
      <c r="B245" s="21">
        <v>46096.0</v>
      </c>
      <c r="C245" s="30" t="s">
        <v>54</v>
      </c>
      <c r="D245" s="19" t="s">
        <v>385</v>
      </c>
      <c r="E245" s="19" t="s">
        <v>680</v>
      </c>
      <c r="F245" s="30" t="s">
        <v>11</v>
      </c>
      <c r="G245" s="30" t="s">
        <v>48</v>
      </c>
      <c r="H245" s="32">
        <f>-8.48-0.42-0.59</f>
        <v>-9.49</v>
      </c>
      <c r="I245" s="40">
        <v>1.03</v>
      </c>
      <c r="J245" s="40" t="s">
        <v>166</v>
      </c>
      <c r="K245" s="19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</row>
    <row r="246" ht="22.5" customHeight="1">
      <c r="A246" s="38" t="s">
        <v>681</v>
      </c>
      <c r="B246" s="21">
        <v>46096.0</v>
      </c>
      <c r="C246" s="30" t="s">
        <v>54</v>
      </c>
      <c r="D246" s="19" t="s">
        <v>385</v>
      </c>
      <c r="E246" s="19" t="s">
        <v>557</v>
      </c>
      <c r="F246" s="30" t="s">
        <v>11</v>
      </c>
      <c r="G246" s="30" t="s">
        <v>42</v>
      </c>
      <c r="H246" s="32">
        <v>-3.48</v>
      </c>
      <c r="I246" s="40">
        <v>1.0</v>
      </c>
      <c r="J246" s="40" t="s">
        <v>166</v>
      </c>
      <c r="K246" s="37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</row>
    <row r="247" ht="22.5" customHeight="1">
      <c r="A247" s="38" t="s">
        <v>682</v>
      </c>
      <c r="B247" s="21">
        <v>46096.0</v>
      </c>
      <c r="C247" s="30" t="s">
        <v>54</v>
      </c>
      <c r="D247" s="19" t="s">
        <v>385</v>
      </c>
      <c r="E247" s="19" t="s">
        <v>301</v>
      </c>
      <c r="F247" s="30" t="s">
        <v>11</v>
      </c>
      <c r="G247" s="30" t="s">
        <v>42</v>
      </c>
      <c r="H247" s="32">
        <v>-4.48</v>
      </c>
      <c r="I247" s="40">
        <v>1.0</v>
      </c>
      <c r="J247" s="40" t="s">
        <v>304</v>
      </c>
      <c r="K247" s="37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</row>
    <row r="248" ht="22.5" customHeight="1">
      <c r="A248" s="38" t="s">
        <v>683</v>
      </c>
      <c r="B248" s="21">
        <v>46096.0</v>
      </c>
      <c r="C248" s="30" t="s">
        <v>54</v>
      </c>
      <c r="D248" s="19" t="s">
        <v>385</v>
      </c>
      <c r="E248" s="19" t="s">
        <v>206</v>
      </c>
      <c r="F248" s="30" t="s">
        <v>11</v>
      </c>
      <c r="G248" s="30" t="s">
        <v>42</v>
      </c>
      <c r="H248" s="32">
        <v>-5.98</v>
      </c>
      <c r="I248" s="40">
        <v>2.0</v>
      </c>
      <c r="J248" s="40" t="s">
        <v>170</v>
      </c>
      <c r="K248" s="37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</row>
    <row r="249" ht="22.5" customHeight="1">
      <c r="A249" s="38" t="s">
        <v>684</v>
      </c>
      <c r="B249" s="21">
        <v>46096.0</v>
      </c>
      <c r="C249" s="30" t="s">
        <v>54</v>
      </c>
      <c r="D249" s="19" t="s">
        <v>385</v>
      </c>
      <c r="E249" s="19" t="s">
        <v>218</v>
      </c>
      <c r="F249" s="30" t="s">
        <v>11</v>
      </c>
      <c r="G249" s="30" t="s">
        <v>42</v>
      </c>
      <c r="H249" s="32">
        <v>-7.42</v>
      </c>
      <c r="I249" s="40">
        <v>0.5</v>
      </c>
      <c r="J249" s="40" t="s">
        <v>166</v>
      </c>
      <c r="K249" s="37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</row>
    <row r="250" ht="22.5" customHeight="1">
      <c r="A250" s="38" t="s">
        <v>685</v>
      </c>
      <c r="B250" s="21">
        <v>46096.0</v>
      </c>
      <c r="C250" s="30" t="s">
        <v>54</v>
      </c>
      <c r="D250" s="19" t="s">
        <v>385</v>
      </c>
      <c r="E250" s="19" t="s">
        <v>237</v>
      </c>
      <c r="F250" s="30" t="s">
        <v>11</v>
      </c>
      <c r="G250" s="30" t="s">
        <v>42</v>
      </c>
      <c r="H250" s="32">
        <v>-6.59</v>
      </c>
      <c r="I250" s="40">
        <v>1.422</v>
      </c>
      <c r="J250" s="40" t="s">
        <v>188</v>
      </c>
      <c r="K250" s="37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</row>
    <row r="251" ht="22.5" customHeight="1">
      <c r="A251" s="38" t="s">
        <v>686</v>
      </c>
      <c r="B251" s="21">
        <v>46096.0</v>
      </c>
      <c r="C251" s="30" t="s">
        <v>54</v>
      </c>
      <c r="D251" s="19" t="s">
        <v>385</v>
      </c>
      <c r="E251" s="19" t="s">
        <v>476</v>
      </c>
      <c r="F251" s="30" t="s">
        <v>11</v>
      </c>
      <c r="G251" s="30" t="s">
        <v>42</v>
      </c>
      <c r="H251" s="32">
        <v>-2.53</v>
      </c>
      <c r="I251" s="40">
        <v>1.0</v>
      </c>
      <c r="J251" s="40" t="s">
        <v>399</v>
      </c>
      <c r="K251" s="37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</row>
    <row r="252" ht="22.5" customHeight="1">
      <c r="A252" s="38" t="s">
        <v>687</v>
      </c>
      <c r="B252" s="21">
        <v>46096.0</v>
      </c>
      <c r="C252" s="30" t="s">
        <v>54</v>
      </c>
      <c r="D252" s="19" t="s">
        <v>385</v>
      </c>
      <c r="E252" s="19" t="s">
        <v>490</v>
      </c>
      <c r="F252" s="30" t="s">
        <v>11</v>
      </c>
      <c r="G252" s="30" t="s">
        <v>42</v>
      </c>
      <c r="H252" s="32">
        <v>-4.57</v>
      </c>
      <c r="I252" s="40">
        <v>0.673</v>
      </c>
      <c r="J252" s="40" t="s">
        <v>188</v>
      </c>
      <c r="K252" s="37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</row>
    <row r="253" ht="22.5" customHeight="1">
      <c r="A253" s="38" t="s">
        <v>688</v>
      </c>
      <c r="B253" s="21">
        <v>46096.0</v>
      </c>
      <c r="C253" s="30" t="s">
        <v>54</v>
      </c>
      <c r="D253" s="19" t="s">
        <v>385</v>
      </c>
      <c r="E253" s="19" t="s">
        <v>689</v>
      </c>
      <c r="F253" s="30" t="s">
        <v>11</v>
      </c>
      <c r="G253" s="30" t="s">
        <v>42</v>
      </c>
      <c r="H253" s="32">
        <v>-37.07</v>
      </c>
      <c r="I253" s="40">
        <v>0.977</v>
      </c>
      <c r="J253" s="40" t="s">
        <v>188</v>
      </c>
      <c r="K253" s="37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</row>
    <row r="254" ht="22.5" customHeight="1">
      <c r="A254" s="38" t="s">
        <v>690</v>
      </c>
      <c r="B254" s="21">
        <v>46096.0</v>
      </c>
      <c r="C254" s="30" t="s">
        <v>54</v>
      </c>
      <c r="D254" s="19" t="s">
        <v>385</v>
      </c>
      <c r="E254" s="19" t="s">
        <v>389</v>
      </c>
      <c r="F254" s="30" t="s">
        <v>11</v>
      </c>
      <c r="G254" s="30" t="s">
        <v>42</v>
      </c>
      <c r="H254" s="32">
        <v>-1.98</v>
      </c>
      <c r="I254" s="40">
        <v>3.0</v>
      </c>
      <c r="J254" s="40" t="s">
        <v>310</v>
      </c>
      <c r="K254" s="37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</row>
    <row r="255" ht="22.5" customHeight="1">
      <c r="A255" s="38" t="s">
        <v>691</v>
      </c>
      <c r="B255" s="21">
        <v>46096.0</v>
      </c>
      <c r="C255" s="30" t="s">
        <v>54</v>
      </c>
      <c r="D255" s="19" t="s">
        <v>385</v>
      </c>
      <c r="E255" s="19" t="s">
        <v>337</v>
      </c>
      <c r="F255" s="30" t="s">
        <v>11</v>
      </c>
      <c r="G255" s="30" t="s">
        <v>42</v>
      </c>
      <c r="H255" s="32">
        <v>-3.29</v>
      </c>
      <c r="I255" s="40">
        <v>1.36</v>
      </c>
      <c r="J255" s="40" t="s">
        <v>188</v>
      </c>
      <c r="K255" s="37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</row>
    <row r="256" ht="22.5" customHeight="1">
      <c r="A256" s="38" t="s">
        <v>692</v>
      </c>
      <c r="B256" s="21">
        <v>46096.0</v>
      </c>
      <c r="C256" s="30" t="s">
        <v>54</v>
      </c>
      <c r="D256" s="19" t="s">
        <v>385</v>
      </c>
      <c r="E256" s="19" t="s">
        <v>693</v>
      </c>
      <c r="F256" s="30" t="s">
        <v>11</v>
      </c>
      <c r="G256" s="30" t="s">
        <v>42</v>
      </c>
      <c r="H256" s="32">
        <v>-8.29</v>
      </c>
      <c r="I256" s="40">
        <v>1.0</v>
      </c>
      <c r="J256" s="40" t="s">
        <v>188</v>
      </c>
      <c r="K256" s="37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</row>
    <row r="257" ht="22.5" customHeight="1">
      <c r="A257" s="38" t="s">
        <v>694</v>
      </c>
      <c r="B257" s="21">
        <v>46096.0</v>
      </c>
      <c r="C257" s="30" t="s">
        <v>54</v>
      </c>
      <c r="D257" s="19" t="s">
        <v>385</v>
      </c>
      <c r="E257" s="19" t="s">
        <v>484</v>
      </c>
      <c r="F257" s="30" t="s">
        <v>11</v>
      </c>
      <c r="G257" s="30" t="s">
        <v>42</v>
      </c>
      <c r="H257" s="32">
        <v>-10.29</v>
      </c>
      <c r="I257" s="40">
        <v>0.5</v>
      </c>
      <c r="J257" s="40" t="s">
        <v>166</v>
      </c>
      <c r="K257" s="37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</row>
    <row r="258" ht="22.5" customHeight="1">
      <c r="A258" s="38" t="s">
        <v>695</v>
      </c>
      <c r="B258" s="21">
        <v>46099.0</v>
      </c>
      <c r="C258" s="30" t="s">
        <v>134</v>
      </c>
      <c r="D258" s="19" t="s">
        <v>696</v>
      </c>
      <c r="E258" s="19" t="s">
        <v>383</v>
      </c>
      <c r="F258" s="30" t="s">
        <v>51</v>
      </c>
      <c r="G258" s="30" t="s">
        <v>271</v>
      </c>
      <c r="H258" s="32">
        <v>-58.0</v>
      </c>
      <c r="I258" s="35"/>
      <c r="J258" s="35"/>
      <c r="K258" s="37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</row>
    <row r="259" ht="22.5" customHeight="1">
      <c r="A259" s="38" t="s">
        <v>697</v>
      </c>
      <c r="B259" s="21">
        <v>46101.0</v>
      </c>
      <c r="C259" s="30" t="s">
        <v>54</v>
      </c>
      <c r="D259" s="19" t="s">
        <v>385</v>
      </c>
      <c r="E259" s="19" t="s">
        <v>698</v>
      </c>
      <c r="F259" s="30" t="s">
        <v>11</v>
      </c>
      <c r="G259" s="30" t="s">
        <v>42</v>
      </c>
      <c r="H259" s="32">
        <v>-13.49</v>
      </c>
      <c r="I259" s="40">
        <v>0.59</v>
      </c>
      <c r="J259" s="40" t="s">
        <v>188</v>
      </c>
      <c r="K259" s="37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</row>
    <row r="260" ht="22.5" customHeight="1">
      <c r="A260" s="38" t="s">
        <v>699</v>
      </c>
      <c r="B260" s="21">
        <v>46101.0</v>
      </c>
      <c r="C260" s="30" t="s">
        <v>54</v>
      </c>
      <c r="D260" s="19" t="s">
        <v>385</v>
      </c>
      <c r="E260" s="19" t="s">
        <v>700</v>
      </c>
      <c r="F260" s="30" t="s">
        <v>11</v>
      </c>
      <c r="G260" s="30" t="s">
        <v>42</v>
      </c>
      <c r="H260" s="32">
        <v>-10.15</v>
      </c>
      <c r="I260" s="40">
        <v>1.0</v>
      </c>
      <c r="J260" s="40" t="s">
        <v>188</v>
      </c>
      <c r="K260" s="37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</row>
    <row r="261" ht="22.5" customHeight="1">
      <c r="A261" s="38" t="s">
        <v>701</v>
      </c>
      <c r="B261" s="21">
        <v>46101.0</v>
      </c>
      <c r="C261" s="30" t="s">
        <v>54</v>
      </c>
      <c r="D261" s="19" t="s">
        <v>385</v>
      </c>
      <c r="E261" s="19" t="s">
        <v>398</v>
      </c>
      <c r="F261" s="30" t="s">
        <v>11</v>
      </c>
      <c r="G261" s="30" t="s">
        <v>42</v>
      </c>
      <c r="H261" s="32">
        <v>-2.48</v>
      </c>
      <c r="I261" s="40">
        <v>1.0</v>
      </c>
      <c r="J261" s="40" t="s">
        <v>399</v>
      </c>
      <c r="K261" s="37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</row>
    <row r="262" ht="22.5" customHeight="1">
      <c r="A262" s="38" t="s">
        <v>702</v>
      </c>
      <c r="B262" s="21">
        <v>46101.0</v>
      </c>
      <c r="C262" s="30" t="s">
        <v>34</v>
      </c>
      <c r="D262" s="19" t="s">
        <v>321</v>
      </c>
      <c r="E262" s="19" t="s">
        <v>321</v>
      </c>
      <c r="F262" s="30" t="s">
        <v>103</v>
      </c>
      <c r="G262" s="30" t="s">
        <v>279</v>
      </c>
      <c r="H262" s="32">
        <v>-646.26</v>
      </c>
      <c r="I262" s="40"/>
      <c r="J262" s="40"/>
      <c r="K262" s="37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</row>
    <row r="263" ht="22.5" customHeight="1">
      <c r="A263" s="38" t="s">
        <v>703</v>
      </c>
      <c r="B263" s="21">
        <v>46101.0</v>
      </c>
      <c r="C263" s="30" t="s">
        <v>54</v>
      </c>
      <c r="D263" s="19" t="s">
        <v>321</v>
      </c>
      <c r="E263" s="19" t="s">
        <v>321</v>
      </c>
      <c r="F263" s="30" t="s">
        <v>103</v>
      </c>
      <c r="G263" s="30" t="s">
        <v>105</v>
      </c>
      <c r="H263" s="32">
        <v>646.26</v>
      </c>
      <c r="I263" s="40"/>
      <c r="J263" s="40"/>
      <c r="K263" s="37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</row>
    <row r="264" ht="22.5" customHeight="1">
      <c r="A264" s="38" t="s">
        <v>704</v>
      </c>
      <c r="B264" s="21">
        <v>46102.0</v>
      </c>
      <c r="C264" s="30" t="s">
        <v>134</v>
      </c>
      <c r="D264" s="19" t="s">
        <v>696</v>
      </c>
      <c r="E264" s="19" t="s">
        <v>705</v>
      </c>
      <c r="F264" s="30" t="s">
        <v>51</v>
      </c>
      <c r="G264" s="30" t="s">
        <v>277</v>
      </c>
      <c r="H264" s="32">
        <v>-38.0</v>
      </c>
      <c r="I264" s="35"/>
      <c r="J264" s="35"/>
      <c r="K264" s="37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</row>
    <row r="265" ht="22.5" customHeight="1">
      <c r="A265" s="38" t="s">
        <v>706</v>
      </c>
      <c r="B265" s="21">
        <v>46103.0</v>
      </c>
      <c r="C265" s="30" t="s">
        <v>54</v>
      </c>
      <c r="D265" s="19" t="s">
        <v>475</v>
      </c>
      <c r="E265" s="19" t="s">
        <v>463</v>
      </c>
      <c r="F265" s="30" t="s">
        <v>11</v>
      </c>
      <c r="G265" s="30" t="s">
        <v>42</v>
      </c>
      <c r="H265" s="32">
        <v>-22.88</v>
      </c>
      <c r="I265" s="40">
        <v>0.907</v>
      </c>
      <c r="J265" s="40" t="s">
        <v>188</v>
      </c>
      <c r="K265" s="37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</row>
    <row r="266" ht="22.5" customHeight="1">
      <c r="A266" s="38" t="s">
        <v>707</v>
      </c>
      <c r="B266" s="21">
        <v>46103.0</v>
      </c>
      <c r="C266" s="30" t="s">
        <v>54</v>
      </c>
      <c r="D266" s="19" t="s">
        <v>475</v>
      </c>
      <c r="E266" s="19" t="s">
        <v>386</v>
      </c>
      <c r="F266" s="30" t="s">
        <v>11</v>
      </c>
      <c r="G266" s="30" t="s">
        <v>42</v>
      </c>
      <c r="H266" s="32">
        <v>-4.94</v>
      </c>
      <c r="I266" s="40">
        <v>0.45</v>
      </c>
      <c r="J266" s="40" t="s">
        <v>188</v>
      </c>
      <c r="K266" s="37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</row>
    <row r="267" ht="22.5" customHeight="1">
      <c r="A267" s="38" t="s">
        <v>708</v>
      </c>
      <c r="B267" s="21">
        <v>46103.0</v>
      </c>
      <c r="C267" s="30" t="s">
        <v>54</v>
      </c>
      <c r="D267" s="19" t="s">
        <v>709</v>
      </c>
      <c r="E267" s="19" t="s">
        <v>710</v>
      </c>
      <c r="F267" s="30" t="s">
        <v>35</v>
      </c>
      <c r="G267" s="30" t="s">
        <v>251</v>
      </c>
      <c r="H267" s="32">
        <v>-41.75</v>
      </c>
      <c r="I267" s="35"/>
      <c r="J267" s="35"/>
      <c r="K267" s="37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</row>
    <row r="268" ht="22.5" customHeight="1">
      <c r="A268" s="38" t="s">
        <v>711</v>
      </c>
      <c r="B268" s="21">
        <v>46104.0</v>
      </c>
      <c r="C268" s="30" t="s">
        <v>134</v>
      </c>
      <c r="D268" s="19" t="s">
        <v>419</v>
      </c>
      <c r="E268" s="19" t="s">
        <v>15</v>
      </c>
      <c r="F268" s="30" t="s">
        <v>11</v>
      </c>
      <c r="G268" s="30" t="s">
        <v>8</v>
      </c>
      <c r="H268" s="32">
        <v>-145.6</v>
      </c>
      <c r="I268" s="35"/>
      <c r="J268" s="35"/>
      <c r="K268" s="37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</row>
    <row r="269" ht="22.5" customHeight="1">
      <c r="A269" s="38" t="s">
        <v>712</v>
      </c>
      <c r="B269" s="21">
        <v>46106.0</v>
      </c>
      <c r="C269" s="30" t="s">
        <v>54</v>
      </c>
      <c r="D269" s="19" t="s">
        <v>475</v>
      </c>
      <c r="E269" s="19" t="s">
        <v>541</v>
      </c>
      <c r="F269" s="30" t="s">
        <v>11</v>
      </c>
      <c r="G269" s="30" t="s">
        <v>42</v>
      </c>
      <c r="H269" s="32">
        <v>-2.54</v>
      </c>
      <c r="I269" s="40">
        <v>1.17</v>
      </c>
      <c r="J269" s="40" t="s">
        <v>188</v>
      </c>
      <c r="K269" s="37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</row>
    <row r="270" ht="22.5" customHeight="1">
      <c r="A270" s="38" t="s">
        <v>713</v>
      </c>
      <c r="B270" s="21">
        <v>46106.0</v>
      </c>
      <c r="C270" s="96" t="s">
        <v>54</v>
      </c>
      <c r="D270" s="19" t="s">
        <v>475</v>
      </c>
      <c r="E270" s="19" t="s">
        <v>454</v>
      </c>
      <c r="F270" s="30" t="s">
        <v>11</v>
      </c>
      <c r="G270" s="30" t="s">
        <v>42</v>
      </c>
      <c r="H270" s="32">
        <v>-29.37</v>
      </c>
      <c r="I270" s="40">
        <v>0.432</v>
      </c>
      <c r="J270" s="40" t="s">
        <v>188</v>
      </c>
      <c r="K270" s="37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</row>
    <row r="271" ht="22.5" customHeight="1">
      <c r="A271" s="38" t="s">
        <v>714</v>
      </c>
      <c r="B271" s="21">
        <v>46106.0</v>
      </c>
      <c r="C271" s="96" t="s">
        <v>54</v>
      </c>
      <c r="D271" s="19" t="s">
        <v>475</v>
      </c>
      <c r="E271" s="19" t="s">
        <v>482</v>
      </c>
      <c r="F271" s="30" t="s">
        <v>11</v>
      </c>
      <c r="G271" s="30" t="s">
        <v>42</v>
      </c>
      <c r="H271" s="32">
        <v>-2.98</v>
      </c>
      <c r="I271" s="40">
        <v>2.0</v>
      </c>
      <c r="J271" s="40" t="s">
        <v>201</v>
      </c>
      <c r="K271" s="37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</row>
    <row r="272" ht="22.5" customHeight="1">
      <c r="A272" s="38" t="s">
        <v>715</v>
      </c>
      <c r="B272" s="21">
        <v>46106.0</v>
      </c>
      <c r="C272" s="30" t="s">
        <v>54</v>
      </c>
      <c r="D272" s="19" t="s">
        <v>475</v>
      </c>
      <c r="E272" s="19" t="s">
        <v>574</v>
      </c>
      <c r="F272" s="30" t="s">
        <v>11</v>
      </c>
      <c r="G272" s="30" t="s">
        <v>42</v>
      </c>
      <c r="H272" s="32">
        <v>-11.93</v>
      </c>
      <c r="I272" s="40">
        <v>0.855</v>
      </c>
      <c r="J272" s="40" t="s">
        <v>188</v>
      </c>
      <c r="K272" s="37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</row>
    <row r="273" ht="22.5" customHeight="1">
      <c r="A273" s="38" t="s">
        <v>716</v>
      </c>
      <c r="B273" s="21">
        <v>46107.0</v>
      </c>
      <c r="C273" s="30" t="s">
        <v>34</v>
      </c>
      <c r="D273" s="41" t="s">
        <v>69</v>
      </c>
      <c r="E273" s="19" t="s">
        <v>70</v>
      </c>
      <c r="F273" s="30" t="s">
        <v>6</v>
      </c>
      <c r="G273" s="30" t="s">
        <v>70</v>
      </c>
      <c r="H273" s="32">
        <v>2010.98</v>
      </c>
      <c r="I273" s="35"/>
      <c r="J273" s="35"/>
      <c r="K273" s="37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</row>
    <row r="274" ht="22.5" customHeight="1">
      <c r="A274" s="38" t="s">
        <v>717</v>
      </c>
      <c r="B274" s="21">
        <v>46107.0</v>
      </c>
      <c r="C274" s="30" t="s">
        <v>34</v>
      </c>
      <c r="D274" s="49" t="s">
        <v>78</v>
      </c>
      <c r="E274" s="42" t="s">
        <v>70</v>
      </c>
      <c r="F274" s="30" t="s">
        <v>6</v>
      </c>
      <c r="G274" s="30" t="s">
        <v>70</v>
      </c>
      <c r="H274" s="32">
        <v>1560.23</v>
      </c>
      <c r="I274" s="35"/>
      <c r="J274" s="35"/>
      <c r="K274" s="37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</row>
    <row r="275" ht="22.5" customHeight="1">
      <c r="A275" s="38" t="s">
        <v>718</v>
      </c>
      <c r="B275" s="21">
        <v>46108.0</v>
      </c>
      <c r="C275" s="30" t="s">
        <v>54</v>
      </c>
      <c r="D275" s="19" t="s">
        <v>429</v>
      </c>
      <c r="E275" s="19" t="s">
        <v>335</v>
      </c>
      <c r="F275" s="30" t="s">
        <v>35</v>
      </c>
      <c r="G275" s="30" t="s">
        <v>294</v>
      </c>
      <c r="H275" s="32">
        <v>-4.47</v>
      </c>
      <c r="I275" s="35"/>
      <c r="J275" s="35"/>
      <c r="K275" s="37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</row>
    <row r="276" ht="22.5" customHeight="1">
      <c r="A276" s="38" t="s">
        <v>719</v>
      </c>
      <c r="B276" s="21">
        <v>46108.0</v>
      </c>
      <c r="C276" s="30" t="s">
        <v>34</v>
      </c>
      <c r="D276" s="19" t="s">
        <v>321</v>
      </c>
      <c r="E276" s="19" t="s">
        <v>321</v>
      </c>
      <c r="F276" s="30" t="s">
        <v>103</v>
      </c>
      <c r="G276" s="30" t="s">
        <v>279</v>
      </c>
      <c r="H276" s="32">
        <v>-120.86</v>
      </c>
      <c r="I276" s="35"/>
      <c r="J276" s="35"/>
      <c r="K276" s="37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</row>
    <row r="277" ht="22.5" customHeight="1">
      <c r="A277" s="38" t="s">
        <v>720</v>
      </c>
      <c r="B277" s="21">
        <v>46108.0</v>
      </c>
      <c r="C277" s="30" t="s">
        <v>54</v>
      </c>
      <c r="D277" s="19" t="s">
        <v>321</v>
      </c>
      <c r="E277" s="19" t="s">
        <v>321</v>
      </c>
      <c r="F277" s="30" t="s">
        <v>103</v>
      </c>
      <c r="G277" s="30" t="s">
        <v>105</v>
      </c>
      <c r="H277" s="32">
        <v>120.86</v>
      </c>
      <c r="I277" s="35"/>
      <c r="J277" s="35"/>
      <c r="K277" s="37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</row>
    <row r="278" ht="22.5" customHeight="1">
      <c r="A278" s="38" t="s">
        <v>721</v>
      </c>
      <c r="B278" s="21">
        <v>46109.0</v>
      </c>
      <c r="C278" s="30" t="s">
        <v>54</v>
      </c>
      <c r="D278" s="19" t="s">
        <v>385</v>
      </c>
      <c r="E278" s="19" t="s">
        <v>451</v>
      </c>
      <c r="F278" s="30" t="s">
        <v>11</v>
      </c>
      <c r="G278" s="30" t="s">
        <v>42</v>
      </c>
      <c r="H278" s="32">
        <v>-3.48</v>
      </c>
      <c r="I278" s="40">
        <v>0.6</v>
      </c>
      <c r="J278" s="40" t="s">
        <v>188</v>
      </c>
      <c r="K278" s="37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</row>
    <row r="279" ht="22.5" customHeight="1">
      <c r="A279" s="38" t="s">
        <v>722</v>
      </c>
      <c r="B279" s="21">
        <v>46109.0</v>
      </c>
      <c r="C279" s="30" t="s">
        <v>54</v>
      </c>
      <c r="D279" s="19" t="s">
        <v>385</v>
      </c>
      <c r="E279" s="19" t="s">
        <v>723</v>
      </c>
      <c r="F279" s="30" t="s">
        <v>11</v>
      </c>
      <c r="G279" s="30" t="s">
        <v>42</v>
      </c>
      <c r="H279" s="32">
        <v>-9.15</v>
      </c>
      <c r="I279" s="40">
        <v>1.5</v>
      </c>
      <c r="J279" s="40" t="s">
        <v>166</v>
      </c>
      <c r="K279" s="37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</row>
    <row r="280" ht="22.5" customHeight="1">
      <c r="A280" s="38" t="s">
        <v>724</v>
      </c>
      <c r="B280" s="21">
        <v>46109.0</v>
      </c>
      <c r="C280" s="30" t="s">
        <v>54</v>
      </c>
      <c r="D280" s="19" t="s">
        <v>385</v>
      </c>
      <c r="E280" s="19" t="s">
        <v>570</v>
      </c>
      <c r="F280" s="30" t="s">
        <v>11</v>
      </c>
      <c r="G280" s="30" t="s">
        <v>42</v>
      </c>
      <c r="H280" s="32">
        <v>-17.04</v>
      </c>
      <c r="I280" s="40">
        <v>1.75</v>
      </c>
      <c r="J280" s="40" t="s">
        <v>188</v>
      </c>
      <c r="K280" s="37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</row>
    <row r="281" ht="22.5" customHeight="1">
      <c r="A281" s="38" t="s">
        <v>725</v>
      </c>
      <c r="B281" s="21">
        <v>46109.0</v>
      </c>
      <c r="C281" s="30" t="s">
        <v>54</v>
      </c>
      <c r="D281" s="19" t="s">
        <v>385</v>
      </c>
      <c r="E281" s="19" t="s">
        <v>274</v>
      </c>
      <c r="F281" s="30" t="s">
        <v>11</v>
      </c>
      <c r="G281" s="30" t="s">
        <v>42</v>
      </c>
      <c r="H281" s="32">
        <v>-6.77</v>
      </c>
      <c r="I281" s="40">
        <v>0.75</v>
      </c>
      <c r="J281" s="40" t="s">
        <v>166</v>
      </c>
      <c r="K281" s="37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</row>
    <row r="282" ht="22.5" customHeight="1">
      <c r="A282" s="38" t="s">
        <v>726</v>
      </c>
      <c r="B282" s="21">
        <v>46109.0</v>
      </c>
      <c r="C282" s="30" t="s">
        <v>54</v>
      </c>
      <c r="D282" s="19" t="s">
        <v>385</v>
      </c>
      <c r="E282" s="19" t="s">
        <v>643</v>
      </c>
      <c r="F282" s="30" t="s">
        <v>11</v>
      </c>
      <c r="G282" s="30" t="s">
        <v>42</v>
      </c>
      <c r="H282" s="32">
        <v>-19.34</v>
      </c>
      <c r="I282" s="40">
        <v>1.0</v>
      </c>
      <c r="J282" s="40" t="s">
        <v>188</v>
      </c>
      <c r="K282" s="37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</row>
    <row r="283" ht="22.5" customHeight="1">
      <c r="A283" s="38" t="s">
        <v>727</v>
      </c>
      <c r="B283" s="21">
        <v>46109.0</v>
      </c>
      <c r="C283" s="30" t="s">
        <v>54</v>
      </c>
      <c r="D283" s="19" t="s">
        <v>385</v>
      </c>
      <c r="E283" s="19" t="s">
        <v>200</v>
      </c>
      <c r="F283" s="30" t="s">
        <v>11</v>
      </c>
      <c r="G283" s="30" t="s">
        <v>42</v>
      </c>
      <c r="H283" s="32">
        <v>-1.63</v>
      </c>
      <c r="I283" s="40">
        <v>2.0</v>
      </c>
      <c r="J283" s="40" t="s">
        <v>201</v>
      </c>
      <c r="K283" s="37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</row>
    <row r="284" ht="22.5" customHeight="1">
      <c r="A284" s="38" t="s">
        <v>728</v>
      </c>
      <c r="B284" s="21">
        <v>46109.0</v>
      </c>
      <c r="C284" s="30" t="s">
        <v>54</v>
      </c>
      <c r="D284" s="19" t="s">
        <v>385</v>
      </c>
      <c r="E284" s="19" t="s">
        <v>729</v>
      </c>
      <c r="F284" s="30" t="s">
        <v>11</v>
      </c>
      <c r="G284" s="30" t="s">
        <v>42</v>
      </c>
      <c r="H284" s="32">
        <v>-44.26</v>
      </c>
      <c r="I284" s="40">
        <v>1.24</v>
      </c>
      <c r="J284" s="40" t="s">
        <v>188</v>
      </c>
      <c r="K284" s="37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</row>
    <row r="285" ht="22.5" customHeight="1">
      <c r="A285" s="38" t="s">
        <v>730</v>
      </c>
      <c r="B285" s="21">
        <v>46112.0</v>
      </c>
      <c r="C285" s="30" t="s">
        <v>54</v>
      </c>
      <c r="D285" s="19" t="s">
        <v>158</v>
      </c>
      <c r="E285" s="19" t="s">
        <v>159</v>
      </c>
      <c r="F285" s="30" t="s">
        <v>11</v>
      </c>
      <c r="G285" s="30" t="s">
        <v>57</v>
      </c>
      <c r="H285" s="32">
        <v>-165.89</v>
      </c>
      <c r="I285" s="40">
        <v>30.0</v>
      </c>
      <c r="J285" s="40" t="s">
        <v>161</v>
      </c>
      <c r="K285" s="37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</row>
    <row r="286" ht="22.5" customHeight="1">
      <c r="A286" s="38" t="s">
        <v>731</v>
      </c>
      <c r="B286" s="21">
        <v>46112.0</v>
      </c>
      <c r="C286" s="30" t="s">
        <v>54</v>
      </c>
      <c r="D286" s="19" t="s">
        <v>385</v>
      </c>
      <c r="E286" s="19" t="s">
        <v>732</v>
      </c>
      <c r="F286" s="30" t="s">
        <v>11</v>
      </c>
      <c r="G286" s="30" t="s">
        <v>48</v>
      </c>
      <c r="H286" s="32">
        <v>-12.29</v>
      </c>
      <c r="I286" s="35"/>
      <c r="J286" s="35"/>
      <c r="K286" s="37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</row>
    <row r="287" ht="22.5" customHeight="1">
      <c r="A287" s="38" t="s">
        <v>733</v>
      </c>
      <c r="B287" s="21">
        <v>46112.0</v>
      </c>
      <c r="C287" s="30" t="s">
        <v>54</v>
      </c>
      <c r="D287" s="19" t="s">
        <v>385</v>
      </c>
      <c r="E287" s="19" t="s">
        <v>586</v>
      </c>
      <c r="F287" s="30" t="s">
        <v>11</v>
      </c>
      <c r="G287" s="30" t="s">
        <v>42</v>
      </c>
      <c r="H287" s="32">
        <v>-5.48</v>
      </c>
      <c r="I287" s="40">
        <v>0.83</v>
      </c>
      <c r="J287" s="40" t="s">
        <v>188</v>
      </c>
      <c r="K287" s="37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</row>
    <row r="288" ht="22.5" customHeight="1">
      <c r="A288" s="38" t="s">
        <v>734</v>
      </c>
      <c r="B288" s="21">
        <v>46112.0</v>
      </c>
      <c r="C288" s="30" t="s">
        <v>54</v>
      </c>
      <c r="D288" s="19" t="s">
        <v>385</v>
      </c>
      <c r="E288" s="19" t="s">
        <v>269</v>
      </c>
      <c r="F288" s="30" t="s">
        <v>11</v>
      </c>
      <c r="G288" s="30" t="s">
        <v>42</v>
      </c>
      <c r="H288" s="32">
        <v>-14.88</v>
      </c>
      <c r="I288" s="40">
        <v>2.0</v>
      </c>
      <c r="J288" s="40" t="s">
        <v>201</v>
      </c>
      <c r="K288" s="37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</row>
    <row r="289" ht="22.5" customHeight="1">
      <c r="A289" s="38" t="s">
        <v>735</v>
      </c>
      <c r="B289" s="21">
        <v>46112.0</v>
      </c>
      <c r="C289" s="30" t="s">
        <v>54</v>
      </c>
      <c r="D289" s="19" t="s">
        <v>385</v>
      </c>
      <c r="E289" s="19" t="s">
        <v>736</v>
      </c>
      <c r="F289" s="30" t="s">
        <v>11</v>
      </c>
      <c r="G289" s="30" t="s">
        <v>42</v>
      </c>
      <c r="H289" s="32">
        <v>-5.3</v>
      </c>
      <c r="I289" s="40">
        <v>0.5</v>
      </c>
      <c r="J289" s="40" t="s">
        <v>166</v>
      </c>
      <c r="K289" s="37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</row>
    <row r="290" ht="22.5" customHeight="1">
      <c r="A290" s="38" t="s">
        <v>737</v>
      </c>
      <c r="B290" s="21">
        <v>46112.0</v>
      </c>
      <c r="C290" s="30" t="s">
        <v>54</v>
      </c>
      <c r="D290" s="19" t="s">
        <v>385</v>
      </c>
      <c r="E290" s="19" t="s">
        <v>541</v>
      </c>
      <c r="F290" s="30" t="s">
        <v>11</v>
      </c>
      <c r="G290" s="30" t="s">
        <v>42</v>
      </c>
      <c r="H290" s="32">
        <v>-2.32</v>
      </c>
      <c r="I290" s="40">
        <v>1.1</v>
      </c>
      <c r="J290" s="40" t="s">
        <v>188</v>
      </c>
      <c r="K290" s="37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</row>
    <row r="291" ht="22.5" customHeight="1">
      <c r="A291" s="38" t="s">
        <v>738</v>
      </c>
      <c r="B291" s="21">
        <v>46112.0</v>
      </c>
      <c r="C291" s="30" t="s">
        <v>54</v>
      </c>
      <c r="D291" s="19" t="s">
        <v>385</v>
      </c>
      <c r="E291" s="19" t="s">
        <v>414</v>
      </c>
      <c r="F291" s="30" t="s">
        <v>11</v>
      </c>
      <c r="G291" s="30" t="s">
        <v>42</v>
      </c>
      <c r="H291" s="32">
        <v>-5.47</v>
      </c>
      <c r="I291" s="40">
        <v>2.27</v>
      </c>
      <c r="J291" s="40" t="s">
        <v>188</v>
      </c>
      <c r="K291" s="37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</row>
    <row r="292" ht="22.5" customHeight="1">
      <c r="A292" s="38" t="s">
        <v>739</v>
      </c>
      <c r="B292" s="21">
        <v>46112.0</v>
      </c>
      <c r="C292" s="30" t="s">
        <v>54</v>
      </c>
      <c r="D292" s="19" t="s">
        <v>385</v>
      </c>
      <c r="E292" s="19" t="s">
        <v>740</v>
      </c>
      <c r="F292" s="30" t="s">
        <v>11</v>
      </c>
      <c r="G292" s="30" t="s">
        <v>42</v>
      </c>
      <c r="H292" s="32">
        <v>-15.03</v>
      </c>
      <c r="I292" s="40">
        <v>0.622</v>
      </c>
      <c r="J292" s="40" t="s">
        <v>188</v>
      </c>
      <c r="K292" s="37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</row>
    <row r="293" ht="22.5" customHeight="1">
      <c r="A293" s="38" t="s">
        <v>741</v>
      </c>
      <c r="B293" s="21">
        <v>46112.0</v>
      </c>
      <c r="C293" s="30" t="s">
        <v>54</v>
      </c>
      <c r="D293" s="19" t="s">
        <v>385</v>
      </c>
      <c r="E293" s="19" t="s">
        <v>742</v>
      </c>
      <c r="F293" s="30" t="s">
        <v>11</v>
      </c>
      <c r="G293" s="30" t="s">
        <v>42</v>
      </c>
      <c r="H293" s="32">
        <v>-2.84</v>
      </c>
      <c r="I293" s="40">
        <v>3.0</v>
      </c>
      <c r="J293" s="40" t="s">
        <v>201</v>
      </c>
      <c r="K293" s="37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</row>
    <row r="294" ht="22.5" customHeight="1">
      <c r="A294" s="38" t="s">
        <v>743</v>
      </c>
      <c r="B294" s="21">
        <v>46112.0</v>
      </c>
      <c r="C294" s="30" t="s">
        <v>54</v>
      </c>
      <c r="D294" s="19" t="s">
        <v>607</v>
      </c>
      <c r="E294" s="19" t="s">
        <v>608</v>
      </c>
      <c r="F294" s="30" t="s">
        <v>11</v>
      </c>
      <c r="G294" s="30" t="s">
        <v>42</v>
      </c>
      <c r="H294" s="32">
        <v>-15.03</v>
      </c>
      <c r="I294" s="40">
        <v>0.75</v>
      </c>
      <c r="J294" s="40" t="s">
        <v>166</v>
      </c>
      <c r="K294" s="37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</row>
    <row r="295" ht="22.5" customHeight="1">
      <c r="A295" s="38" t="s">
        <v>744</v>
      </c>
      <c r="B295" s="21">
        <v>46112.0</v>
      </c>
      <c r="C295" s="30" t="s">
        <v>34</v>
      </c>
      <c r="D295" s="19" t="s">
        <v>321</v>
      </c>
      <c r="E295" s="19" t="s">
        <v>321</v>
      </c>
      <c r="F295" s="30" t="s">
        <v>103</v>
      </c>
      <c r="G295" s="30" t="s">
        <v>279</v>
      </c>
      <c r="H295" s="32">
        <v>-433.31</v>
      </c>
      <c r="I295" s="35"/>
      <c r="J295" s="35"/>
      <c r="K295" s="37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</row>
    <row r="296" ht="22.5" customHeight="1">
      <c r="A296" s="38" t="s">
        <v>745</v>
      </c>
      <c r="B296" s="21">
        <v>46112.0</v>
      </c>
      <c r="C296" s="30" t="s">
        <v>134</v>
      </c>
      <c r="D296" s="19" t="s">
        <v>321</v>
      </c>
      <c r="E296" s="19" t="s">
        <v>321</v>
      </c>
      <c r="F296" s="30" t="s">
        <v>103</v>
      </c>
      <c r="G296" s="30" t="s">
        <v>105</v>
      </c>
      <c r="H296" s="32">
        <v>433.31</v>
      </c>
      <c r="I296" s="35"/>
      <c r="J296" s="35"/>
      <c r="K296" s="37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</row>
    <row r="297" ht="22.5" customHeight="1">
      <c r="A297" s="38" t="s">
        <v>746</v>
      </c>
      <c r="B297" s="21">
        <v>46112.0</v>
      </c>
      <c r="C297" s="30" t="s">
        <v>34</v>
      </c>
      <c r="D297" s="19" t="s">
        <v>456</v>
      </c>
      <c r="E297" s="19" t="s">
        <v>456</v>
      </c>
      <c r="F297" s="30" t="s">
        <v>17</v>
      </c>
      <c r="G297" s="30" t="s">
        <v>136</v>
      </c>
      <c r="H297" s="32">
        <v>-5848.26</v>
      </c>
      <c r="I297" s="40"/>
      <c r="J297" s="40"/>
      <c r="K297" s="37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</row>
    <row r="298" ht="22.5" customHeight="1">
      <c r="A298" s="38" t="s">
        <v>747</v>
      </c>
      <c r="B298" s="21">
        <v>46112.0</v>
      </c>
      <c r="C298" s="30" t="s">
        <v>52</v>
      </c>
      <c r="D298" s="19" t="s">
        <v>456</v>
      </c>
      <c r="E298" s="19" t="s">
        <v>456</v>
      </c>
      <c r="F298" s="30" t="s">
        <v>103</v>
      </c>
      <c r="G298" s="30" t="s">
        <v>105</v>
      </c>
      <c r="H298" s="32">
        <v>5848.26</v>
      </c>
      <c r="I298" s="40"/>
      <c r="J298" s="40"/>
      <c r="K298" s="37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</row>
    <row r="299" ht="22.5" customHeight="1">
      <c r="A299" s="38" t="s">
        <v>748</v>
      </c>
      <c r="B299" s="21">
        <v>46112.0</v>
      </c>
      <c r="C299" s="128" t="s">
        <v>145</v>
      </c>
      <c r="D299" s="19" t="s">
        <v>331</v>
      </c>
      <c r="E299" s="129" t="s">
        <v>285</v>
      </c>
      <c r="F299" s="128" t="s">
        <v>6</v>
      </c>
      <c r="G299" s="128" t="s">
        <v>285</v>
      </c>
      <c r="H299" s="32">
        <v>6.210000000000001</v>
      </c>
      <c r="I299" s="40"/>
      <c r="J299" s="40"/>
      <c r="K299" s="37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</row>
    <row r="300" ht="22.5" customHeight="1">
      <c r="A300" s="38" t="s">
        <v>749</v>
      </c>
      <c r="B300" s="21">
        <v>46112.0</v>
      </c>
      <c r="C300" s="123" t="s">
        <v>52</v>
      </c>
      <c r="D300" s="124" t="s">
        <v>331</v>
      </c>
      <c r="E300" s="124" t="s">
        <v>469</v>
      </c>
      <c r="F300" s="123" t="s">
        <v>6</v>
      </c>
      <c r="G300" s="123" t="s">
        <v>280</v>
      </c>
      <c r="H300" s="32">
        <v>43.41</v>
      </c>
      <c r="I300" s="40"/>
      <c r="J300" s="40"/>
      <c r="K300" s="37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</row>
    <row r="301" ht="22.5" customHeight="1">
      <c r="A301" s="38" t="s">
        <v>750</v>
      </c>
      <c r="B301" s="21">
        <v>46113.0</v>
      </c>
      <c r="C301" s="30" t="s">
        <v>134</v>
      </c>
      <c r="D301" s="19" t="s">
        <v>56</v>
      </c>
      <c r="E301" s="42" t="s">
        <v>33</v>
      </c>
      <c r="F301" s="30" t="s">
        <v>11</v>
      </c>
      <c r="G301" s="30" t="s">
        <v>8</v>
      </c>
      <c r="H301" s="43">
        <v>-24.51</v>
      </c>
      <c r="I301" s="35"/>
      <c r="J301" s="35"/>
      <c r="K301" s="37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</row>
    <row r="302" ht="22.5" customHeight="1">
      <c r="A302" s="38" t="s">
        <v>751</v>
      </c>
      <c r="B302" s="21">
        <v>46113.0</v>
      </c>
      <c r="C302" s="30" t="s">
        <v>54</v>
      </c>
      <c r="D302" s="27" t="s">
        <v>147</v>
      </c>
      <c r="E302" s="27" t="s">
        <v>148</v>
      </c>
      <c r="F302" s="30" t="s">
        <v>11</v>
      </c>
      <c r="G302" s="30" t="s">
        <v>62</v>
      </c>
      <c r="H302" s="32">
        <v>-160.0</v>
      </c>
      <c r="I302" s="35"/>
      <c r="J302" s="35"/>
      <c r="K302" s="37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</row>
    <row r="303" ht="22.5" customHeight="1">
      <c r="A303" s="38" t="s">
        <v>752</v>
      </c>
      <c r="B303" s="21">
        <v>46113.0</v>
      </c>
      <c r="C303" s="30" t="s">
        <v>134</v>
      </c>
      <c r="D303" s="27" t="s">
        <v>147</v>
      </c>
      <c r="E303" s="27" t="s">
        <v>148</v>
      </c>
      <c r="F303" s="30" t="s">
        <v>11</v>
      </c>
      <c r="G303" s="30" t="s">
        <v>62</v>
      </c>
      <c r="H303" s="32">
        <v>-80.0</v>
      </c>
      <c r="I303" s="35"/>
      <c r="J303" s="35"/>
      <c r="K303" s="37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</row>
    <row r="304" ht="22.5" customHeight="1">
      <c r="A304" s="38" t="s">
        <v>753</v>
      </c>
      <c r="B304" s="21">
        <v>46113.0</v>
      </c>
      <c r="C304" s="30" t="s">
        <v>34</v>
      </c>
      <c r="D304" s="27" t="s">
        <v>37</v>
      </c>
      <c r="E304" s="19" t="s">
        <v>9</v>
      </c>
      <c r="F304" s="30" t="s">
        <v>11</v>
      </c>
      <c r="G304" s="30" t="s">
        <v>8</v>
      </c>
      <c r="H304" s="32">
        <v>-2300.0</v>
      </c>
      <c r="I304" s="35"/>
      <c r="J304" s="35"/>
      <c r="K304" s="37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</row>
    <row r="305" ht="22.5" customHeight="1">
      <c r="A305" s="38" t="s">
        <v>754</v>
      </c>
      <c r="B305" s="21">
        <v>46115.0</v>
      </c>
      <c r="C305" s="30" t="s">
        <v>34</v>
      </c>
      <c r="D305" s="19" t="s">
        <v>321</v>
      </c>
      <c r="E305" s="19" t="s">
        <v>321</v>
      </c>
      <c r="F305" s="30" t="s">
        <v>103</v>
      </c>
      <c r="G305" s="30" t="s">
        <v>279</v>
      </c>
      <c r="H305" s="32">
        <v>-506.2</v>
      </c>
      <c r="I305" s="35"/>
      <c r="J305" s="35"/>
      <c r="K305" s="37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</row>
    <row r="306" ht="22.5" customHeight="1">
      <c r="A306" s="38" t="s">
        <v>755</v>
      </c>
      <c r="B306" s="21">
        <v>46115.0</v>
      </c>
      <c r="C306" s="30" t="s">
        <v>54</v>
      </c>
      <c r="D306" s="19" t="s">
        <v>321</v>
      </c>
      <c r="E306" s="19" t="s">
        <v>321</v>
      </c>
      <c r="F306" s="30" t="s">
        <v>103</v>
      </c>
      <c r="G306" s="30" t="s">
        <v>105</v>
      </c>
      <c r="H306" s="32">
        <v>506.2</v>
      </c>
      <c r="I306" s="35"/>
      <c r="J306" s="35"/>
      <c r="K306" s="37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</row>
    <row r="307" ht="22.5" customHeight="1">
      <c r="A307" s="38" t="s">
        <v>756</v>
      </c>
      <c r="B307" s="21">
        <v>46116.0</v>
      </c>
      <c r="C307" s="30" t="s">
        <v>134</v>
      </c>
      <c r="D307" s="19" t="s">
        <v>258</v>
      </c>
      <c r="E307" s="19" t="s">
        <v>24</v>
      </c>
      <c r="F307" s="30" t="s">
        <v>11</v>
      </c>
      <c r="G307" s="30" t="s">
        <v>8</v>
      </c>
      <c r="H307" s="32">
        <v>-67.2</v>
      </c>
      <c r="I307" s="35"/>
      <c r="J307" s="35"/>
      <c r="K307" s="37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</row>
    <row r="308" ht="22.5" customHeight="1">
      <c r="A308" s="38" t="s">
        <v>757</v>
      </c>
      <c r="B308" s="21">
        <v>46116.0</v>
      </c>
      <c r="C308" s="30" t="s">
        <v>54</v>
      </c>
      <c r="D308" s="19" t="s">
        <v>758</v>
      </c>
      <c r="E308" s="19" t="s">
        <v>759</v>
      </c>
      <c r="F308" s="30" t="s">
        <v>35</v>
      </c>
      <c r="G308" s="30" t="s">
        <v>251</v>
      </c>
      <c r="H308" s="32">
        <v>-49.6</v>
      </c>
      <c r="I308" s="35"/>
      <c r="J308" s="35"/>
      <c r="K308" s="37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</row>
    <row r="309" ht="22.5" customHeight="1">
      <c r="A309" s="38" t="s">
        <v>760</v>
      </c>
      <c r="B309" s="21">
        <v>46121.0</v>
      </c>
      <c r="C309" s="30" t="s">
        <v>34</v>
      </c>
      <c r="D309" s="41" t="s">
        <v>69</v>
      </c>
      <c r="E309" s="19" t="s">
        <v>70</v>
      </c>
      <c r="F309" s="30" t="s">
        <v>6</v>
      </c>
      <c r="G309" s="30" t="s">
        <v>70</v>
      </c>
      <c r="H309" s="32">
        <v>2010.98</v>
      </c>
      <c r="I309" s="35"/>
      <c r="J309" s="35"/>
      <c r="K309" s="37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</row>
    <row r="310" ht="22.5" customHeight="1">
      <c r="A310" s="38" t="s">
        <v>761</v>
      </c>
      <c r="B310" s="21">
        <v>46121.0</v>
      </c>
      <c r="C310" s="30" t="s">
        <v>34</v>
      </c>
      <c r="D310" s="49" t="s">
        <v>78</v>
      </c>
      <c r="E310" s="42" t="s">
        <v>70</v>
      </c>
      <c r="F310" s="30" t="s">
        <v>6</v>
      </c>
      <c r="G310" s="30" t="s">
        <v>70</v>
      </c>
      <c r="H310" s="32">
        <v>1560.23</v>
      </c>
      <c r="I310" s="35"/>
      <c r="J310" s="35"/>
      <c r="K310" s="37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</row>
    <row r="311" ht="22.5" customHeight="1">
      <c r="A311" s="38" t="s">
        <v>762</v>
      </c>
      <c r="B311" s="21">
        <v>46121.0</v>
      </c>
      <c r="C311" s="128" t="s">
        <v>34</v>
      </c>
      <c r="D311" s="129" t="s">
        <v>22</v>
      </c>
      <c r="E311" s="129" t="s">
        <v>22</v>
      </c>
      <c r="F311" s="30" t="s">
        <v>22</v>
      </c>
      <c r="G311" s="30" t="s">
        <v>92</v>
      </c>
      <c r="H311" s="32">
        <v>-500.0</v>
      </c>
      <c r="I311" s="138"/>
      <c r="J311" s="138"/>
      <c r="K311" s="134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</row>
    <row r="312" ht="22.5" customHeight="1">
      <c r="A312" s="38" t="s">
        <v>763</v>
      </c>
      <c r="B312" s="21">
        <v>46121.0</v>
      </c>
      <c r="C312" s="30" t="s">
        <v>102</v>
      </c>
      <c r="D312" s="132" t="s">
        <v>22</v>
      </c>
      <c r="E312" s="132" t="s">
        <v>22</v>
      </c>
      <c r="F312" s="135" t="s">
        <v>103</v>
      </c>
      <c r="G312" s="135" t="s">
        <v>105</v>
      </c>
      <c r="H312" s="32">
        <v>500.0</v>
      </c>
      <c r="I312" s="139"/>
      <c r="J312" s="139"/>
      <c r="K312" s="133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</row>
    <row r="313" ht="22.5" customHeight="1">
      <c r="A313" s="38" t="s">
        <v>764</v>
      </c>
      <c r="B313" s="21">
        <v>46121.0</v>
      </c>
      <c r="C313" s="128" t="s">
        <v>34</v>
      </c>
      <c r="D313" s="129" t="s">
        <v>22</v>
      </c>
      <c r="E313" s="129" t="s">
        <v>22</v>
      </c>
      <c r="F313" s="30" t="s">
        <v>22</v>
      </c>
      <c r="G313" s="30" t="s">
        <v>92</v>
      </c>
      <c r="H313" s="140">
        <v>-500.0</v>
      </c>
      <c r="I313" s="138"/>
      <c r="J313" s="138"/>
      <c r="K313" s="134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</row>
    <row r="314" ht="22.5" customHeight="1">
      <c r="A314" s="38" t="s">
        <v>765</v>
      </c>
      <c r="B314" s="21">
        <v>46121.0</v>
      </c>
      <c r="C314" s="30" t="s">
        <v>121</v>
      </c>
      <c r="D314" s="132" t="s">
        <v>22</v>
      </c>
      <c r="E314" s="132" t="s">
        <v>22</v>
      </c>
      <c r="F314" s="135" t="s">
        <v>103</v>
      </c>
      <c r="G314" s="135" t="s">
        <v>105</v>
      </c>
      <c r="H314" s="141">
        <v>500.0</v>
      </c>
      <c r="I314" s="139"/>
      <c r="J314" s="139"/>
      <c r="K314" s="133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</row>
    <row r="315" ht="22.5" customHeight="1">
      <c r="A315" s="38" t="s">
        <v>766</v>
      </c>
      <c r="B315" s="21">
        <v>46121.0</v>
      </c>
      <c r="C315" s="128" t="s">
        <v>34</v>
      </c>
      <c r="D315" s="129" t="s">
        <v>17</v>
      </c>
      <c r="E315" s="129" t="s">
        <v>17</v>
      </c>
      <c r="F315" s="30" t="s">
        <v>17</v>
      </c>
      <c r="G315" s="30" t="s">
        <v>297</v>
      </c>
      <c r="H315" s="32">
        <v>-1000.0</v>
      </c>
      <c r="I315" s="138"/>
      <c r="J315" s="138"/>
      <c r="K315" s="134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</row>
    <row r="316" ht="22.5" customHeight="1">
      <c r="A316" s="38" t="s">
        <v>767</v>
      </c>
      <c r="B316" s="21">
        <v>46121.0</v>
      </c>
      <c r="C316" s="142" t="s">
        <v>52</v>
      </c>
      <c r="D316" s="132" t="s">
        <v>17</v>
      </c>
      <c r="E316" s="132" t="s">
        <v>17</v>
      </c>
      <c r="F316" s="143" t="s">
        <v>103</v>
      </c>
      <c r="G316" s="143" t="s">
        <v>105</v>
      </c>
      <c r="H316" s="32">
        <v>1000.0</v>
      </c>
      <c r="I316" s="139"/>
      <c r="J316" s="139"/>
      <c r="K316" s="133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</row>
    <row r="317" ht="22.5" customHeight="1">
      <c r="A317" s="38" t="s">
        <v>768</v>
      </c>
      <c r="B317" s="21">
        <v>46121.0</v>
      </c>
      <c r="C317" s="96" t="s">
        <v>54</v>
      </c>
      <c r="D317" s="19" t="s">
        <v>769</v>
      </c>
      <c r="E317" s="19" t="s">
        <v>770</v>
      </c>
      <c r="F317" s="30" t="s">
        <v>44</v>
      </c>
      <c r="G317" s="30" t="s">
        <v>283</v>
      </c>
      <c r="H317" s="32">
        <v>-280.0</v>
      </c>
      <c r="I317" s="35"/>
      <c r="J317" s="35"/>
      <c r="K317" s="37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</row>
    <row r="318" ht="22.5" customHeight="1">
      <c r="A318" s="38" t="s">
        <v>771</v>
      </c>
      <c r="B318" s="21">
        <v>46121.0</v>
      </c>
      <c r="C318" s="96" t="s">
        <v>54</v>
      </c>
      <c r="D318" s="19" t="s">
        <v>158</v>
      </c>
      <c r="E318" s="19" t="s">
        <v>772</v>
      </c>
      <c r="F318" s="30" t="s">
        <v>61</v>
      </c>
      <c r="G318" s="30" t="s">
        <v>272</v>
      </c>
      <c r="H318" s="32">
        <v>-30.44</v>
      </c>
      <c r="I318" s="35"/>
      <c r="J318" s="35"/>
      <c r="K318" s="37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</row>
    <row r="319" ht="22.5" customHeight="1">
      <c r="A319" s="38" t="s">
        <v>773</v>
      </c>
      <c r="B319" s="21">
        <v>46122.0</v>
      </c>
      <c r="C319" s="30" t="s">
        <v>54</v>
      </c>
      <c r="D319" s="19" t="s">
        <v>164</v>
      </c>
      <c r="E319" s="19" t="s">
        <v>296</v>
      </c>
      <c r="F319" s="30" t="s">
        <v>11</v>
      </c>
      <c r="G319" s="30" t="s">
        <v>42</v>
      </c>
      <c r="H319" s="32">
        <v>-17.45</v>
      </c>
      <c r="I319" s="40">
        <v>1.723</v>
      </c>
      <c r="J319" s="40" t="s">
        <v>188</v>
      </c>
      <c r="K319" s="37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</row>
    <row r="320" ht="22.5" customHeight="1">
      <c r="A320" s="38" t="s">
        <v>774</v>
      </c>
      <c r="B320" s="21">
        <v>46122.0</v>
      </c>
      <c r="C320" s="30" t="s">
        <v>54</v>
      </c>
      <c r="D320" s="19" t="s">
        <v>164</v>
      </c>
      <c r="E320" s="19" t="s">
        <v>557</v>
      </c>
      <c r="F320" s="30" t="s">
        <v>11</v>
      </c>
      <c r="G320" s="30" t="s">
        <v>42</v>
      </c>
      <c r="H320" s="32">
        <v>-3.05</v>
      </c>
      <c r="I320" s="40">
        <v>1.0</v>
      </c>
      <c r="J320" s="40" t="s">
        <v>166</v>
      </c>
      <c r="K320" s="37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</row>
    <row r="321" ht="22.5" customHeight="1">
      <c r="A321" s="38" t="s">
        <v>775</v>
      </c>
      <c r="B321" s="21">
        <v>46122.0</v>
      </c>
      <c r="C321" s="30" t="s">
        <v>54</v>
      </c>
      <c r="D321" s="19" t="s">
        <v>164</v>
      </c>
      <c r="E321" s="19" t="s">
        <v>398</v>
      </c>
      <c r="F321" s="30" t="s">
        <v>11</v>
      </c>
      <c r="G321" s="30" t="s">
        <v>42</v>
      </c>
      <c r="H321" s="32">
        <v>-2.96</v>
      </c>
      <c r="I321" s="40">
        <v>2.0</v>
      </c>
      <c r="J321" s="40" t="s">
        <v>399</v>
      </c>
      <c r="K321" s="37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</row>
    <row r="322" ht="22.5" customHeight="1">
      <c r="A322" s="38" t="s">
        <v>776</v>
      </c>
      <c r="B322" s="21">
        <v>46122.0</v>
      </c>
      <c r="C322" s="30" t="s">
        <v>54</v>
      </c>
      <c r="D322" s="19" t="s">
        <v>164</v>
      </c>
      <c r="E322" s="19" t="s">
        <v>572</v>
      </c>
      <c r="F322" s="30" t="s">
        <v>11</v>
      </c>
      <c r="G322" s="30" t="s">
        <v>42</v>
      </c>
      <c r="H322" s="32">
        <v>-8.67</v>
      </c>
      <c r="I322" s="40">
        <v>3.0</v>
      </c>
      <c r="J322" s="40" t="s">
        <v>399</v>
      </c>
      <c r="K322" s="37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</row>
    <row r="323" ht="22.5" customHeight="1">
      <c r="A323" s="38" t="s">
        <v>777</v>
      </c>
      <c r="B323" s="21">
        <v>46122.0</v>
      </c>
      <c r="C323" s="128" t="s">
        <v>142</v>
      </c>
      <c r="D323" s="19" t="s">
        <v>331</v>
      </c>
      <c r="E323" s="129" t="s">
        <v>285</v>
      </c>
      <c r="F323" s="128" t="s">
        <v>6</v>
      </c>
      <c r="G323" s="128" t="s">
        <v>285</v>
      </c>
      <c r="H323" s="32">
        <v>15.45</v>
      </c>
      <c r="I323" s="40"/>
      <c r="J323" s="40"/>
      <c r="K323" s="37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</row>
    <row r="324" ht="22.5" customHeight="1">
      <c r="A324" s="38" t="s">
        <v>778</v>
      </c>
      <c r="B324" s="21">
        <v>46123.0</v>
      </c>
      <c r="C324" s="30" t="s">
        <v>54</v>
      </c>
      <c r="D324" s="19" t="s">
        <v>334</v>
      </c>
      <c r="E324" s="19" t="s">
        <v>335</v>
      </c>
      <c r="F324" s="30" t="s">
        <v>35</v>
      </c>
      <c r="G324" s="30" t="s">
        <v>294</v>
      </c>
      <c r="H324" s="32">
        <v>-20.04</v>
      </c>
      <c r="I324" s="35"/>
      <c r="J324" s="35"/>
      <c r="K324" s="37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</row>
    <row r="325" ht="22.5" customHeight="1">
      <c r="A325" s="38" t="s">
        <v>779</v>
      </c>
      <c r="B325" s="21">
        <v>46123.0</v>
      </c>
      <c r="C325" s="101" t="s">
        <v>54</v>
      </c>
      <c r="D325" s="100" t="s">
        <v>780</v>
      </c>
      <c r="E325" s="100" t="s">
        <v>781</v>
      </c>
      <c r="F325" s="101" t="s">
        <v>35</v>
      </c>
      <c r="G325" s="101" t="s">
        <v>251</v>
      </c>
      <c r="H325" s="32">
        <v>-53.85</v>
      </c>
      <c r="I325" s="35"/>
      <c r="J325" s="35"/>
      <c r="K325" s="37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</row>
    <row r="326" ht="22.5" customHeight="1">
      <c r="A326" s="38" t="s">
        <v>782</v>
      </c>
      <c r="B326" s="21">
        <v>46123.0</v>
      </c>
      <c r="C326" s="30" t="s">
        <v>54</v>
      </c>
      <c r="D326" s="19" t="s">
        <v>520</v>
      </c>
      <c r="E326" s="19" t="s">
        <v>783</v>
      </c>
      <c r="F326" s="30" t="s">
        <v>35</v>
      </c>
      <c r="G326" s="30" t="s">
        <v>277</v>
      </c>
      <c r="H326" s="32">
        <v>-20.0</v>
      </c>
      <c r="I326" s="35"/>
      <c r="J326" s="35"/>
      <c r="K326" s="37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</row>
    <row r="327" ht="22.5" customHeight="1">
      <c r="A327" s="38" t="s">
        <v>784</v>
      </c>
      <c r="B327" s="21">
        <v>46125.0</v>
      </c>
      <c r="C327" s="30" t="s">
        <v>54</v>
      </c>
      <c r="D327" s="19" t="s">
        <v>385</v>
      </c>
      <c r="E327" s="19" t="s">
        <v>213</v>
      </c>
      <c r="F327" s="30" t="s">
        <v>11</v>
      </c>
      <c r="G327" s="30" t="s">
        <v>42</v>
      </c>
      <c r="H327" s="32">
        <v>-25.76</v>
      </c>
      <c r="I327" s="40">
        <v>1.974</v>
      </c>
      <c r="J327" s="40" t="s">
        <v>188</v>
      </c>
      <c r="K327" s="37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</row>
    <row r="328" ht="22.5" customHeight="1">
      <c r="A328" s="38" t="s">
        <v>785</v>
      </c>
      <c r="B328" s="21">
        <v>46125.0</v>
      </c>
      <c r="C328" s="30" t="s">
        <v>54</v>
      </c>
      <c r="D328" s="19" t="s">
        <v>385</v>
      </c>
      <c r="E328" s="19" t="s">
        <v>786</v>
      </c>
      <c r="F328" s="30" t="s">
        <v>11</v>
      </c>
      <c r="G328" s="30" t="s">
        <v>42</v>
      </c>
      <c r="H328" s="32">
        <v>-5.29</v>
      </c>
      <c r="I328" s="40">
        <v>0.64</v>
      </c>
      <c r="J328" s="40" t="s">
        <v>188</v>
      </c>
      <c r="K328" s="37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</row>
    <row r="329" ht="22.5" customHeight="1">
      <c r="A329" s="38" t="s">
        <v>787</v>
      </c>
      <c r="B329" s="21">
        <v>46125.0</v>
      </c>
      <c r="C329" s="30" t="s">
        <v>54</v>
      </c>
      <c r="D329" s="19" t="s">
        <v>385</v>
      </c>
      <c r="E329" s="19" t="s">
        <v>245</v>
      </c>
      <c r="F329" s="30" t="s">
        <v>11</v>
      </c>
      <c r="G329" s="30" t="s">
        <v>42</v>
      </c>
      <c r="H329" s="32">
        <v>-3.68</v>
      </c>
      <c r="I329" s="40">
        <v>0.87</v>
      </c>
      <c r="J329" s="40" t="s">
        <v>188</v>
      </c>
      <c r="K329" s="37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</row>
    <row r="330" ht="22.5" customHeight="1">
      <c r="A330" s="38" t="s">
        <v>788</v>
      </c>
      <c r="B330" s="21">
        <v>46125.0</v>
      </c>
      <c r="C330" s="30" t="s">
        <v>54</v>
      </c>
      <c r="D330" s="19" t="s">
        <v>385</v>
      </c>
      <c r="E330" s="19" t="s">
        <v>414</v>
      </c>
      <c r="F330" s="30" t="s">
        <v>11</v>
      </c>
      <c r="G330" s="30" t="s">
        <v>42</v>
      </c>
      <c r="H330" s="32">
        <v>-5.47</v>
      </c>
      <c r="I330" s="40">
        <v>2.27</v>
      </c>
      <c r="J330" s="40" t="s">
        <v>188</v>
      </c>
      <c r="K330" s="37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</row>
    <row r="331" ht="22.5" customHeight="1">
      <c r="A331" s="38" t="s">
        <v>789</v>
      </c>
      <c r="B331" s="21">
        <v>46125.0</v>
      </c>
      <c r="C331" s="30" t="s">
        <v>54</v>
      </c>
      <c r="D331" s="19" t="s">
        <v>385</v>
      </c>
      <c r="E331" s="19" t="s">
        <v>790</v>
      </c>
      <c r="F331" s="30" t="s">
        <v>11</v>
      </c>
      <c r="G331" s="30" t="s">
        <v>42</v>
      </c>
      <c r="H331" s="32">
        <v>-24.27</v>
      </c>
      <c r="I331" s="40">
        <v>0.722</v>
      </c>
      <c r="J331" s="40" t="s">
        <v>188</v>
      </c>
      <c r="K331" s="37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</row>
    <row r="332" ht="22.5" customHeight="1">
      <c r="A332" s="38" t="s">
        <v>791</v>
      </c>
      <c r="B332" s="21">
        <v>46125.0</v>
      </c>
      <c r="C332" s="30" t="s">
        <v>54</v>
      </c>
      <c r="D332" s="19" t="s">
        <v>385</v>
      </c>
      <c r="E332" s="19" t="s">
        <v>301</v>
      </c>
      <c r="F332" s="30" t="s">
        <v>11</v>
      </c>
      <c r="G332" s="30" t="s">
        <v>42</v>
      </c>
      <c r="H332" s="32">
        <v>-6.07</v>
      </c>
      <c r="I332" s="40">
        <v>1.0</v>
      </c>
      <c r="J332" s="40" t="s">
        <v>304</v>
      </c>
      <c r="K332" s="37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</row>
    <row r="333" ht="22.5" customHeight="1">
      <c r="A333" s="38" t="s">
        <v>792</v>
      </c>
      <c r="B333" s="21">
        <v>46126.0</v>
      </c>
      <c r="C333" s="30" t="s">
        <v>54</v>
      </c>
      <c r="D333" s="19" t="s">
        <v>164</v>
      </c>
      <c r="E333" s="19" t="s">
        <v>200</v>
      </c>
      <c r="F333" s="30" t="s">
        <v>11</v>
      </c>
      <c r="G333" s="30" t="s">
        <v>42</v>
      </c>
      <c r="H333" s="32">
        <v>-1.24</v>
      </c>
      <c r="I333" s="40">
        <v>2.0</v>
      </c>
      <c r="J333" s="40" t="s">
        <v>201</v>
      </c>
      <c r="K333" s="37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</row>
    <row r="334" ht="22.5" customHeight="1">
      <c r="A334" s="38" t="s">
        <v>793</v>
      </c>
      <c r="B334" s="21">
        <v>46126.0</v>
      </c>
      <c r="C334" s="96" t="s">
        <v>54</v>
      </c>
      <c r="D334" s="19" t="s">
        <v>164</v>
      </c>
      <c r="E334" s="19" t="s">
        <v>224</v>
      </c>
      <c r="F334" s="30" t="s">
        <v>11</v>
      </c>
      <c r="G334" s="30" t="s">
        <v>42</v>
      </c>
      <c r="H334" s="32">
        <v>-4.44</v>
      </c>
      <c r="I334" s="40">
        <v>3.0</v>
      </c>
      <c r="J334" s="40" t="s">
        <v>170</v>
      </c>
      <c r="K334" s="37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</row>
    <row r="335" ht="22.5" customHeight="1">
      <c r="A335" s="38" t="s">
        <v>794</v>
      </c>
      <c r="B335" s="21">
        <v>46126.0</v>
      </c>
      <c r="C335" s="96" t="s">
        <v>54</v>
      </c>
      <c r="D335" s="19" t="s">
        <v>164</v>
      </c>
      <c r="E335" s="19" t="s">
        <v>398</v>
      </c>
      <c r="F335" s="30" t="s">
        <v>11</v>
      </c>
      <c r="G335" s="30" t="s">
        <v>42</v>
      </c>
      <c r="H335" s="32">
        <v>-2.96</v>
      </c>
      <c r="I335" s="40">
        <v>2.0</v>
      </c>
      <c r="J335" s="40" t="s">
        <v>399</v>
      </c>
      <c r="K335" s="37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</row>
    <row r="336" ht="22.5" customHeight="1">
      <c r="A336" s="38" t="s">
        <v>795</v>
      </c>
      <c r="B336" s="21">
        <v>46126.0</v>
      </c>
      <c r="C336" s="30" t="s">
        <v>54</v>
      </c>
      <c r="D336" s="19" t="s">
        <v>164</v>
      </c>
      <c r="E336" s="19" t="s">
        <v>466</v>
      </c>
      <c r="F336" s="30" t="s">
        <v>11</v>
      </c>
      <c r="G336" s="30" t="s">
        <v>42</v>
      </c>
      <c r="H336" s="32">
        <v>-9.19</v>
      </c>
      <c r="I336" s="40">
        <v>1.633</v>
      </c>
      <c r="J336" s="40" t="s">
        <v>188</v>
      </c>
      <c r="K336" s="37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</row>
    <row r="337" ht="22.5" customHeight="1">
      <c r="A337" s="38" t="s">
        <v>796</v>
      </c>
      <c r="B337" s="21">
        <v>46126.0</v>
      </c>
      <c r="C337" s="30" t="s">
        <v>54</v>
      </c>
      <c r="D337" s="19" t="s">
        <v>164</v>
      </c>
      <c r="E337" s="19" t="s">
        <v>476</v>
      </c>
      <c r="F337" s="30" t="s">
        <v>11</v>
      </c>
      <c r="G337" s="30" t="s">
        <v>42</v>
      </c>
      <c r="H337" s="32">
        <v>-2.77</v>
      </c>
      <c r="I337" s="40">
        <v>1.0</v>
      </c>
      <c r="J337" s="40" t="s">
        <v>399</v>
      </c>
      <c r="K337" s="37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</row>
    <row r="338" ht="22.5" customHeight="1">
      <c r="A338" s="38" t="s">
        <v>797</v>
      </c>
      <c r="B338" s="21">
        <v>46127.0</v>
      </c>
      <c r="C338" s="30" t="s">
        <v>134</v>
      </c>
      <c r="D338" s="19" t="s">
        <v>589</v>
      </c>
      <c r="E338" s="19" t="s">
        <v>798</v>
      </c>
      <c r="F338" s="30" t="s">
        <v>51</v>
      </c>
      <c r="G338" s="30" t="s">
        <v>283</v>
      </c>
      <c r="H338" s="32">
        <v>-44.5</v>
      </c>
      <c r="I338" s="35"/>
      <c r="J338" s="35"/>
      <c r="K338" s="37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</row>
    <row r="339" ht="22.5" customHeight="1">
      <c r="A339" s="38" t="s">
        <v>799</v>
      </c>
      <c r="B339" s="21">
        <v>46128.0</v>
      </c>
      <c r="C339" s="30" t="s">
        <v>54</v>
      </c>
      <c r="D339" s="19" t="s">
        <v>385</v>
      </c>
      <c r="E339" s="19" t="s">
        <v>570</v>
      </c>
      <c r="F339" s="30" t="s">
        <v>11</v>
      </c>
      <c r="G339" s="30" t="s">
        <v>42</v>
      </c>
      <c r="H339" s="32">
        <v>-17.04</v>
      </c>
      <c r="I339" s="40">
        <v>1.75</v>
      </c>
      <c r="J339" s="40" t="s">
        <v>188</v>
      </c>
      <c r="K339" s="37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</row>
    <row r="340" ht="22.5" customHeight="1">
      <c r="A340" s="38" t="s">
        <v>800</v>
      </c>
      <c r="B340" s="21">
        <v>46128.0</v>
      </c>
      <c r="C340" s="30" t="s">
        <v>54</v>
      </c>
      <c r="D340" s="19" t="s">
        <v>385</v>
      </c>
      <c r="E340" s="19" t="s">
        <v>180</v>
      </c>
      <c r="F340" s="30" t="s">
        <v>11</v>
      </c>
      <c r="G340" s="30" t="s">
        <v>42</v>
      </c>
      <c r="H340" s="32">
        <v>-6.16</v>
      </c>
      <c r="I340" s="40"/>
      <c r="J340" s="40"/>
      <c r="K340" s="37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</row>
    <row r="341" ht="22.5" customHeight="1">
      <c r="A341" s="38" t="s">
        <v>801</v>
      </c>
      <c r="B341" s="21">
        <v>46128.0</v>
      </c>
      <c r="C341" s="30" t="s">
        <v>54</v>
      </c>
      <c r="D341" s="19" t="s">
        <v>385</v>
      </c>
      <c r="E341" s="19" t="s">
        <v>206</v>
      </c>
      <c r="F341" s="30" t="s">
        <v>11</v>
      </c>
      <c r="G341" s="30" t="s">
        <v>42</v>
      </c>
      <c r="H341" s="32">
        <v>-5.98</v>
      </c>
      <c r="I341" s="40">
        <v>2.0</v>
      </c>
      <c r="J341" s="40" t="s">
        <v>170</v>
      </c>
      <c r="K341" s="37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</row>
    <row r="342" ht="22.5" customHeight="1">
      <c r="A342" s="38" t="s">
        <v>802</v>
      </c>
      <c r="B342" s="21">
        <v>46128.0</v>
      </c>
      <c r="C342" s="30" t="s">
        <v>54</v>
      </c>
      <c r="D342" s="19" t="s">
        <v>385</v>
      </c>
      <c r="E342" s="19" t="s">
        <v>269</v>
      </c>
      <c r="F342" s="30" t="s">
        <v>11</v>
      </c>
      <c r="G342" s="30" t="s">
        <v>42</v>
      </c>
      <c r="H342" s="32">
        <v>-14.88</v>
      </c>
      <c r="I342" s="40">
        <v>2.0</v>
      </c>
      <c r="J342" s="40" t="s">
        <v>201</v>
      </c>
      <c r="K342" s="37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</row>
    <row r="343" ht="22.5" customHeight="1">
      <c r="A343" s="38" t="s">
        <v>803</v>
      </c>
      <c r="B343" s="21">
        <v>46128.0</v>
      </c>
      <c r="C343" s="30" t="s">
        <v>54</v>
      </c>
      <c r="D343" s="19" t="s">
        <v>385</v>
      </c>
      <c r="E343" s="19" t="s">
        <v>622</v>
      </c>
      <c r="F343" s="30" t="s">
        <v>11</v>
      </c>
      <c r="G343" s="30" t="s">
        <v>42</v>
      </c>
      <c r="H343" s="32">
        <v>-8.56</v>
      </c>
      <c r="I343" s="40">
        <v>2.0</v>
      </c>
      <c r="J343" s="40" t="s">
        <v>487</v>
      </c>
      <c r="K343" s="37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</row>
    <row r="344" ht="22.5" customHeight="1">
      <c r="A344" s="38" t="s">
        <v>804</v>
      </c>
      <c r="B344" s="21">
        <v>46128.0</v>
      </c>
      <c r="C344" s="30" t="s">
        <v>54</v>
      </c>
      <c r="D344" s="19" t="s">
        <v>385</v>
      </c>
      <c r="E344" s="19" t="s">
        <v>535</v>
      </c>
      <c r="F344" s="30" t="s">
        <v>11</v>
      </c>
      <c r="G344" s="30" t="s">
        <v>42</v>
      </c>
      <c r="H344" s="32">
        <v>-3.65</v>
      </c>
      <c r="I344" s="40">
        <v>1.656</v>
      </c>
      <c r="J344" s="40" t="s">
        <v>188</v>
      </c>
      <c r="K344" s="37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</row>
    <row r="345" ht="22.5" customHeight="1">
      <c r="A345" s="38" t="s">
        <v>805</v>
      </c>
      <c r="B345" s="21">
        <v>46129.0</v>
      </c>
      <c r="C345" s="30" t="s">
        <v>54</v>
      </c>
      <c r="D345" s="19" t="s">
        <v>475</v>
      </c>
      <c r="E345" s="19" t="s">
        <v>723</v>
      </c>
      <c r="F345" s="30" t="s">
        <v>11</v>
      </c>
      <c r="G345" s="30" t="s">
        <v>42</v>
      </c>
      <c r="H345" s="32">
        <v>-8.72</v>
      </c>
      <c r="I345" s="40">
        <v>1.5</v>
      </c>
      <c r="J345" s="40" t="s">
        <v>166</v>
      </c>
      <c r="K345" s="37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</row>
    <row r="346" ht="22.5" customHeight="1">
      <c r="A346" s="38" t="s">
        <v>806</v>
      </c>
      <c r="B346" s="21">
        <v>46129.0</v>
      </c>
      <c r="C346" s="30" t="s">
        <v>54</v>
      </c>
      <c r="D346" s="19" t="s">
        <v>475</v>
      </c>
      <c r="E346" s="19" t="s">
        <v>200</v>
      </c>
      <c r="F346" s="30" t="s">
        <v>11</v>
      </c>
      <c r="G346" s="30" t="s">
        <v>42</v>
      </c>
      <c r="H346" s="32">
        <v>-1.2</v>
      </c>
      <c r="I346" s="40">
        <v>2.0</v>
      </c>
      <c r="J346" s="40" t="s">
        <v>201</v>
      </c>
      <c r="K346" s="37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</row>
    <row r="347" ht="22.5" customHeight="1">
      <c r="A347" s="38" t="s">
        <v>807</v>
      </c>
      <c r="B347" s="21">
        <v>46129.0</v>
      </c>
      <c r="C347" s="30" t="s">
        <v>54</v>
      </c>
      <c r="D347" s="19" t="s">
        <v>475</v>
      </c>
      <c r="E347" s="19" t="s">
        <v>346</v>
      </c>
      <c r="F347" s="30" t="s">
        <v>11</v>
      </c>
      <c r="G347" s="30" t="s">
        <v>42</v>
      </c>
      <c r="H347" s="32">
        <v>-4.56</v>
      </c>
      <c r="I347" s="40">
        <v>1.01</v>
      </c>
      <c r="J347" s="40" t="s">
        <v>188</v>
      </c>
      <c r="K347" s="37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</row>
    <row r="348" ht="22.5" customHeight="1">
      <c r="A348" s="38" t="s">
        <v>808</v>
      </c>
      <c r="B348" s="21">
        <v>46129.0</v>
      </c>
      <c r="C348" s="30" t="s">
        <v>54</v>
      </c>
      <c r="D348" s="19" t="s">
        <v>475</v>
      </c>
      <c r="E348" s="19" t="s">
        <v>342</v>
      </c>
      <c r="F348" s="30" t="s">
        <v>11</v>
      </c>
      <c r="G348" s="30" t="s">
        <v>42</v>
      </c>
      <c r="H348" s="32">
        <v>-7.4</v>
      </c>
      <c r="I348" s="40">
        <v>24.0</v>
      </c>
      <c r="J348" s="40" t="s">
        <v>343</v>
      </c>
      <c r="K348" s="37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</row>
    <row r="349" ht="22.5" customHeight="1">
      <c r="A349" s="38" t="s">
        <v>809</v>
      </c>
      <c r="B349" s="21">
        <v>46129.0</v>
      </c>
      <c r="C349" s="30" t="s">
        <v>54</v>
      </c>
      <c r="D349" s="19" t="s">
        <v>475</v>
      </c>
      <c r="E349" s="19" t="s">
        <v>602</v>
      </c>
      <c r="F349" s="30" t="s">
        <v>11</v>
      </c>
      <c r="G349" s="30" t="s">
        <v>42</v>
      </c>
      <c r="H349" s="32">
        <v>-24.14</v>
      </c>
      <c r="I349" s="40">
        <v>1.376</v>
      </c>
      <c r="J349" s="40" t="s">
        <v>188</v>
      </c>
      <c r="K349" s="37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</row>
    <row r="350" ht="22.5" customHeight="1">
      <c r="A350" s="38" t="s">
        <v>810</v>
      </c>
      <c r="B350" s="21">
        <v>46129.0</v>
      </c>
      <c r="C350" s="30" t="s">
        <v>54</v>
      </c>
      <c r="D350" s="19" t="s">
        <v>475</v>
      </c>
      <c r="E350" s="19" t="s">
        <v>309</v>
      </c>
      <c r="F350" s="30" t="s">
        <v>11</v>
      </c>
      <c r="G350" s="30" t="s">
        <v>42</v>
      </c>
      <c r="H350" s="32">
        <v>-5.26</v>
      </c>
      <c r="I350" s="40">
        <v>2.0</v>
      </c>
      <c r="J350" s="40" t="s">
        <v>310</v>
      </c>
      <c r="K350" s="37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</row>
    <row r="351" ht="22.5" customHeight="1">
      <c r="A351" s="38" t="s">
        <v>811</v>
      </c>
      <c r="B351" s="21">
        <v>46129.0</v>
      </c>
      <c r="C351" s="30" t="s">
        <v>54</v>
      </c>
      <c r="D351" s="19" t="s">
        <v>475</v>
      </c>
      <c r="E351" s="19" t="s">
        <v>740</v>
      </c>
      <c r="F351" s="30" t="s">
        <v>11</v>
      </c>
      <c r="G351" s="30" t="s">
        <v>42</v>
      </c>
      <c r="H351" s="32">
        <v>-15.74</v>
      </c>
      <c r="I351" s="40">
        <v>1.478</v>
      </c>
      <c r="J351" s="40" t="s">
        <v>188</v>
      </c>
      <c r="K351" s="37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</row>
    <row r="352" ht="22.5" customHeight="1">
      <c r="A352" s="38" t="s">
        <v>812</v>
      </c>
      <c r="B352" s="21">
        <v>46129.0</v>
      </c>
      <c r="C352" s="30" t="s">
        <v>34</v>
      </c>
      <c r="D352" s="19" t="s">
        <v>321</v>
      </c>
      <c r="E352" s="19" t="s">
        <v>321</v>
      </c>
      <c r="F352" s="30" t="s">
        <v>103</v>
      </c>
      <c r="G352" s="30" t="s">
        <v>279</v>
      </c>
      <c r="H352" s="32">
        <v>-700.49</v>
      </c>
      <c r="I352" s="40"/>
      <c r="J352" s="40"/>
      <c r="K352" s="37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</row>
    <row r="353" ht="22.5" customHeight="1">
      <c r="A353" s="38" t="s">
        <v>813</v>
      </c>
      <c r="B353" s="21">
        <v>46129.0</v>
      </c>
      <c r="C353" s="30" t="s">
        <v>54</v>
      </c>
      <c r="D353" s="19" t="s">
        <v>321</v>
      </c>
      <c r="E353" s="19" t="s">
        <v>321</v>
      </c>
      <c r="F353" s="30" t="s">
        <v>103</v>
      </c>
      <c r="G353" s="30" t="s">
        <v>105</v>
      </c>
      <c r="H353" s="32">
        <v>700.49</v>
      </c>
      <c r="I353" s="40"/>
      <c r="J353" s="40"/>
      <c r="K353" s="37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</row>
    <row r="354" ht="22.5" customHeight="1">
      <c r="A354" s="38" t="s">
        <v>814</v>
      </c>
      <c r="B354" s="21">
        <v>46130.0</v>
      </c>
      <c r="C354" s="30" t="s">
        <v>54</v>
      </c>
      <c r="D354" s="19" t="s">
        <v>475</v>
      </c>
      <c r="E354" s="19" t="s">
        <v>389</v>
      </c>
      <c r="F354" s="30" t="s">
        <v>11</v>
      </c>
      <c r="G354" s="30" t="s">
        <v>42</v>
      </c>
      <c r="H354" s="32">
        <v>-1.98</v>
      </c>
      <c r="I354" s="40">
        <v>3.0</v>
      </c>
      <c r="J354" s="40" t="s">
        <v>310</v>
      </c>
      <c r="K354" s="37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</row>
    <row r="355" ht="22.5" customHeight="1">
      <c r="A355" s="38" t="s">
        <v>815</v>
      </c>
      <c r="B355" s="21">
        <v>46130.0</v>
      </c>
      <c r="C355" s="30" t="s">
        <v>54</v>
      </c>
      <c r="D355" s="19" t="s">
        <v>475</v>
      </c>
      <c r="E355" s="19" t="s">
        <v>169</v>
      </c>
      <c r="F355" s="30" t="s">
        <v>11</v>
      </c>
      <c r="G355" s="30" t="s">
        <v>42</v>
      </c>
      <c r="H355" s="32">
        <v>-7.98</v>
      </c>
      <c r="I355" s="40">
        <v>2.0</v>
      </c>
      <c r="J355" s="40" t="s">
        <v>170</v>
      </c>
      <c r="K355" s="37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</row>
    <row r="356" ht="22.5" customHeight="1">
      <c r="A356" s="38" t="s">
        <v>816</v>
      </c>
      <c r="B356" s="21">
        <v>46130.0</v>
      </c>
      <c r="C356" s="30" t="s">
        <v>54</v>
      </c>
      <c r="D356" s="19" t="s">
        <v>475</v>
      </c>
      <c r="E356" s="19" t="s">
        <v>543</v>
      </c>
      <c r="F356" s="30" t="s">
        <v>11</v>
      </c>
      <c r="G356" s="30" t="s">
        <v>42</v>
      </c>
      <c r="H356" s="32">
        <v>-7.89</v>
      </c>
      <c r="I356" s="40">
        <v>0.68</v>
      </c>
      <c r="J356" s="40" t="s">
        <v>166</v>
      </c>
      <c r="K356" s="37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</row>
    <row r="357" ht="22.5" customHeight="1">
      <c r="A357" s="38" t="s">
        <v>817</v>
      </c>
      <c r="B357" s="21">
        <v>46130.0</v>
      </c>
      <c r="C357" s="30" t="s">
        <v>54</v>
      </c>
      <c r="D357" s="19" t="s">
        <v>475</v>
      </c>
      <c r="E357" s="19" t="s">
        <v>790</v>
      </c>
      <c r="F357" s="30" t="s">
        <v>11</v>
      </c>
      <c r="G357" s="30" t="s">
        <v>42</v>
      </c>
      <c r="H357" s="32">
        <v>-23.13</v>
      </c>
      <c r="I357" s="40">
        <v>1.2</v>
      </c>
      <c r="J357" s="40" t="s">
        <v>188</v>
      </c>
      <c r="K357" s="37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</row>
    <row r="358" ht="22.5" customHeight="1">
      <c r="A358" s="38" t="s">
        <v>818</v>
      </c>
      <c r="B358" s="21">
        <v>46130.0</v>
      </c>
      <c r="C358" s="30" t="s">
        <v>54</v>
      </c>
      <c r="D358" s="19" t="s">
        <v>475</v>
      </c>
      <c r="E358" s="19" t="s">
        <v>819</v>
      </c>
      <c r="F358" s="30" t="s">
        <v>11</v>
      </c>
      <c r="G358" s="30" t="s">
        <v>42</v>
      </c>
      <c r="H358" s="32">
        <v>-1.72</v>
      </c>
      <c r="I358" s="40">
        <v>2.0</v>
      </c>
      <c r="J358" s="40" t="s">
        <v>201</v>
      </c>
      <c r="K358" s="37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</row>
    <row r="359" ht="22.5" customHeight="1">
      <c r="A359" s="38" t="s">
        <v>820</v>
      </c>
      <c r="B359" s="21">
        <v>46130.0</v>
      </c>
      <c r="C359" s="30" t="s">
        <v>54</v>
      </c>
      <c r="D359" s="19" t="s">
        <v>475</v>
      </c>
      <c r="E359" s="19" t="s">
        <v>185</v>
      </c>
      <c r="F359" s="30" t="s">
        <v>11</v>
      </c>
      <c r="G359" s="30" t="s">
        <v>42</v>
      </c>
      <c r="H359" s="32">
        <v>-16.49</v>
      </c>
      <c r="I359" s="40">
        <v>1.75</v>
      </c>
      <c r="J359" s="40" t="s">
        <v>188</v>
      </c>
      <c r="K359" s="37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</row>
    <row r="360" ht="22.5" customHeight="1">
      <c r="A360" s="38" t="s">
        <v>821</v>
      </c>
      <c r="B360" s="21">
        <v>46130.0</v>
      </c>
      <c r="C360" s="30" t="s">
        <v>54</v>
      </c>
      <c r="D360" s="19" t="s">
        <v>607</v>
      </c>
      <c r="E360" s="19" t="s">
        <v>822</v>
      </c>
      <c r="F360" s="30" t="s">
        <v>11</v>
      </c>
      <c r="G360" s="30" t="s">
        <v>42</v>
      </c>
      <c r="H360" s="32">
        <v>-21.58</v>
      </c>
      <c r="I360" s="40">
        <v>0.75</v>
      </c>
      <c r="J360" s="40" t="s">
        <v>166</v>
      </c>
      <c r="K360" s="37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</row>
    <row r="361" ht="22.5" customHeight="1">
      <c r="A361" s="38" t="s">
        <v>823</v>
      </c>
      <c r="B361" s="21">
        <v>46130.0</v>
      </c>
      <c r="C361" s="30" t="s">
        <v>54</v>
      </c>
      <c r="D361" s="19" t="s">
        <v>824</v>
      </c>
      <c r="E361" s="19" t="s">
        <v>825</v>
      </c>
      <c r="F361" s="30" t="s">
        <v>35</v>
      </c>
      <c r="G361" s="30" t="s">
        <v>48</v>
      </c>
      <c r="H361" s="32">
        <v>-129.99</v>
      </c>
      <c r="I361" s="35"/>
      <c r="J361" s="35"/>
      <c r="K361" s="37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</row>
    <row r="362" ht="22.5" customHeight="1">
      <c r="A362" s="38" t="s">
        <v>826</v>
      </c>
      <c r="B362" s="21">
        <v>46131.0</v>
      </c>
      <c r="C362" s="30" t="s">
        <v>54</v>
      </c>
      <c r="D362" s="19" t="s">
        <v>378</v>
      </c>
      <c r="E362" s="19" t="s">
        <v>827</v>
      </c>
      <c r="F362" s="30" t="s">
        <v>35</v>
      </c>
      <c r="G362" s="30" t="s">
        <v>303</v>
      </c>
      <c r="H362" s="32">
        <v>-84.7</v>
      </c>
      <c r="I362" s="35"/>
      <c r="J362" s="35"/>
      <c r="K362" s="37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</row>
    <row r="363" ht="22.5" customHeight="1">
      <c r="A363" s="38" t="s">
        <v>828</v>
      </c>
      <c r="B363" s="21">
        <v>46131.0</v>
      </c>
      <c r="C363" s="96" t="s">
        <v>54</v>
      </c>
      <c r="D363" s="19" t="s">
        <v>662</v>
      </c>
      <c r="E363" s="19" t="s">
        <v>829</v>
      </c>
      <c r="F363" s="30" t="s">
        <v>35</v>
      </c>
      <c r="G363" s="30" t="s">
        <v>303</v>
      </c>
      <c r="H363" s="32">
        <v>-219.0</v>
      </c>
      <c r="I363" s="35"/>
      <c r="J363" s="35"/>
      <c r="K363" s="37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</row>
    <row r="364" ht="22.5" customHeight="1">
      <c r="A364" s="38" t="s">
        <v>830</v>
      </c>
      <c r="B364" s="21">
        <v>46134.0</v>
      </c>
      <c r="C364" s="96" t="s">
        <v>54</v>
      </c>
      <c r="D364" s="19" t="s">
        <v>164</v>
      </c>
      <c r="E364" s="19" t="s">
        <v>354</v>
      </c>
      <c r="F364" s="30" t="s">
        <v>11</v>
      </c>
      <c r="G364" s="30" t="s">
        <v>42</v>
      </c>
      <c r="H364" s="32">
        <v>-4.29</v>
      </c>
      <c r="I364" s="40">
        <v>12.0</v>
      </c>
      <c r="J364" s="40" t="s">
        <v>355</v>
      </c>
      <c r="K364" s="37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</row>
    <row r="365" ht="22.5" customHeight="1">
      <c r="A365" s="38" t="s">
        <v>831</v>
      </c>
      <c r="B365" s="21">
        <v>46134.0</v>
      </c>
      <c r="C365" s="30" t="s">
        <v>54</v>
      </c>
      <c r="D365" s="19" t="s">
        <v>164</v>
      </c>
      <c r="E365" s="19" t="s">
        <v>337</v>
      </c>
      <c r="F365" s="30" t="s">
        <v>11</v>
      </c>
      <c r="G365" s="30" t="s">
        <v>42</v>
      </c>
      <c r="H365" s="32">
        <v>-3.29</v>
      </c>
      <c r="I365" s="40">
        <v>1.36</v>
      </c>
      <c r="J365" s="40" t="s">
        <v>188</v>
      </c>
      <c r="K365" s="37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</row>
    <row r="366" ht="22.5" customHeight="1">
      <c r="A366" s="38" t="s">
        <v>832</v>
      </c>
      <c r="B366" s="21">
        <v>46134.0</v>
      </c>
      <c r="C366" s="30" t="s">
        <v>54</v>
      </c>
      <c r="D366" s="19" t="s">
        <v>164</v>
      </c>
      <c r="E366" s="19" t="s">
        <v>723</v>
      </c>
      <c r="F366" s="30" t="s">
        <v>11</v>
      </c>
      <c r="G366" s="30" t="s">
        <v>42</v>
      </c>
      <c r="H366" s="32">
        <v>-11.98</v>
      </c>
      <c r="I366" s="40">
        <v>0.946</v>
      </c>
      <c r="J366" s="40" t="s">
        <v>166</v>
      </c>
      <c r="K366" s="37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</row>
    <row r="367" ht="22.5" customHeight="1">
      <c r="A367" s="38" t="s">
        <v>833</v>
      </c>
      <c r="B367" s="21">
        <v>46134.0</v>
      </c>
      <c r="C367" s="30" t="s">
        <v>54</v>
      </c>
      <c r="D367" s="19" t="s">
        <v>164</v>
      </c>
      <c r="E367" s="19" t="s">
        <v>200</v>
      </c>
      <c r="F367" s="30" t="s">
        <v>11</v>
      </c>
      <c r="G367" s="30" t="s">
        <v>42</v>
      </c>
      <c r="H367" s="32">
        <v>-1.46</v>
      </c>
      <c r="I367" s="40">
        <v>2.0</v>
      </c>
      <c r="J367" s="40" t="s">
        <v>201</v>
      </c>
      <c r="K367" s="37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</row>
    <row r="368" ht="22.5" customHeight="1">
      <c r="A368" s="38" t="s">
        <v>834</v>
      </c>
      <c r="B368" s="21">
        <v>46134.0</v>
      </c>
      <c r="C368" s="30" t="s">
        <v>54</v>
      </c>
      <c r="D368" s="19" t="s">
        <v>164</v>
      </c>
      <c r="E368" s="19" t="s">
        <v>224</v>
      </c>
      <c r="F368" s="30" t="s">
        <v>11</v>
      </c>
      <c r="G368" s="30" t="s">
        <v>42</v>
      </c>
      <c r="H368" s="32">
        <v>-4.44</v>
      </c>
      <c r="I368" s="40">
        <v>2.0</v>
      </c>
      <c r="J368" s="40" t="s">
        <v>170</v>
      </c>
      <c r="K368" s="37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</row>
    <row r="369" ht="22.5" customHeight="1">
      <c r="A369" s="38" t="s">
        <v>835</v>
      </c>
      <c r="B369" s="21">
        <v>46134.0</v>
      </c>
      <c r="C369" s="30" t="s">
        <v>54</v>
      </c>
      <c r="D369" s="19" t="s">
        <v>164</v>
      </c>
      <c r="E369" s="19" t="s">
        <v>269</v>
      </c>
      <c r="F369" s="30" t="s">
        <v>11</v>
      </c>
      <c r="G369" s="30" t="s">
        <v>42</v>
      </c>
      <c r="H369" s="32">
        <v>-9.48</v>
      </c>
      <c r="I369" s="40">
        <v>2.0</v>
      </c>
      <c r="J369" s="40" t="s">
        <v>201</v>
      </c>
      <c r="K369" s="37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</row>
    <row r="370" ht="22.5" customHeight="1">
      <c r="A370" s="38" t="s">
        <v>836</v>
      </c>
      <c r="B370" s="21">
        <v>46134.0</v>
      </c>
      <c r="C370" s="96" t="s">
        <v>54</v>
      </c>
      <c r="D370" s="19" t="s">
        <v>164</v>
      </c>
      <c r="E370" s="19" t="s">
        <v>386</v>
      </c>
      <c r="F370" s="30" t="s">
        <v>11</v>
      </c>
      <c r="G370" s="30" t="s">
        <v>42</v>
      </c>
      <c r="H370" s="32">
        <v>-5.22</v>
      </c>
      <c r="I370" s="40">
        <v>0.578</v>
      </c>
      <c r="J370" s="40" t="s">
        <v>188</v>
      </c>
      <c r="K370" s="37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</row>
    <row r="371" ht="22.5" customHeight="1">
      <c r="A371" s="38" t="s">
        <v>837</v>
      </c>
      <c r="B371" s="21">
        <v>46134.0</v>
      </c>
      <c r="C371" s="96" t="s">
        <v>54</v>
      </c>
      <c r="D371" s="19" t="s">
        <v>164</v>
      </c>
      <c r="E371" s="19" t="s">
        <v>389</v>
      </c>
      <c r="F371" s="30" t="s">
        <v>11</v>
      </c>
      <c r="G371" s="30" t="s">
        <v>42</v>
      </c>
      <c r="H371" s="32">
        <v>-1.56</v>
      </c>
      <c r="I371" s="40">
        <v>3.0</v>
      </c>
      <c r="J371" s="40" t="s">
        <v>310</v>
      </c>
      <c r="K371" s="37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</row>
    <row r="372" ht="22.5" customHeight="1">
      <c r="A372" s="38" t="s">
        <v>838</v>
      </c>
      <c r="B372" s="21">
        <v>46135.0</v>
      </c>
      <c r="C372" s="30" t="s">
        <v>134</v>
      </c>
      <c r="D372" s="19" t="s">
        <v>419</v>
      </c>
      <c r="E372" s="19" t="s">
        <v>15</v>
      </c>
      <c r="F372" s="30" t="s">
        <v>11</v>
      </c>
      <c r="G372" s="30" t="s">
        <v>8</v>
      </c>
      <c r="H372" s="32">
        <v>-145.6</v>
      </c>
      <c r="I372" s="35"/>
      <c r="J372" s="35"/>
      <c r="K372" s="37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</row>
    <row r="373" ht="22.5" customHeight="1">
      <c r="A373" s="38" t="s">
        <v>839</v>
      </c>
      <c r="B373" s="21">
        <v>46135.0</v>
      </c>
      <c r="C373" s="30" t="s">
        <v>34</v>
      </c>
      <c r="D373" s="41" t="s">
        <v>69</v>
      </c>
      <c r="E373" s="19" t="s">
        <v>70</v>
      </c>
      <c r="F373" s="30" t="s">
        <v>6</v>
      </c>
      <c r="G373" s="30" t="s">
        <v>70</v>
      </c>
      <c r="H373" s="32">
        <v>2010.98</v>
      </c>
      <c r="I373" s="35"/>
      <c r="J373" s="35"/>
      <c r="K373" s="37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</row>
    <row r="374" ht="22.5" customHeight="1">
      <c r="A374" s="38" t="s">
        <v>840</v>
      </c>
      <c r="B374" s="21">
        <v>46135.0</v>
      </c>
      <c r="C374" s="30" t="s">
        <v>34</v>
      </c>
      <c r="D374" s="49" t="s">
        <v>78</v>
      </c>
      <c r="E374" s="42" t="s">
        <v>70</v>
      </c>
      <c r="F374" s="30" t="s">
        <v>6</v>
      </c>
      <c r="G374" s="30" t="s">
        <v>70</v>
      </c>
      <c r="H374" s="32">
        <v>1560.23</v>
      </c>
      <c r="I374" s="35"/>
      <c r="J374" s="35"/>
      <c r="K374" s="37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</row>
    <row r="375" ht="22.5" customHeight="1">
      <c r="A375" s="38" t="s">
        <v>841</v>
      </c>
      <c r="B375" s="21">
        <v>46136.0</v>
      </c>
      <c r="C375" s="30" t="s">
        <v>34</v>
      </c>
      <c r="D375" s="19" t="s">
        <v>321</v>
      </c>
      <c r="E375" s="19" t="s">
        <v>321</v>
      </c>
      <c r="F375" s="30" t="s">
        <v>103</v>
      </c>
      <c r="G375" s="30" t="s">
        <v>279</v>
      </c>
      <c r="H375" s="32">
        <v>-549.4</v>
      </c>
      <c r="I375" s="40"/>
      <c r="J375" s="40"/>
      <c r="K375" s="37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</row>
    <row r="376" ht="22.5" customHeight="1">
      <c r="A376" s="38" t="s">
        <v>842</v>
      </c>
      <c r="B376" s="21">
        <v>46136.0</v>
      </c>
      <c r="C376" s="30" t="s">
        <v>54</v>
      </c>
      <c r="D376" s="19" t="s">
        <v>321</v>
      </c>
      <c r="E376" s="19" t="s">
        <v>321</v>
      </c>
      <c r="F376" s="30" t="s">
        <v>103</v>
      </c>
      <c r="G376" s="30" t="s">
        <v>105</v>
      </c>
      <c r="H376" s="32">
        <v>549.4</v>
      </c>
      <c r="I376" s="40"/>
      <c r="J376" s="40"/>
      <c r="K376" s="37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</row>
    <row r="377" ht="22.5" customHeight="1">
      <c r="A377" s="38" t="s">
        <v>843</v>
      </c>
      <c r="B377" s="21">
        <v>46136.0</v>
      </c>
      <c r="C377" s="30" t="s">
        <v>54</v>
      </c>
      <c r="D377" s="19" t="s">
        <v>425</v>
      </c>
      <c r="E377" s="19" t="s">
        <v>844</v>
      </c>
      <c r="F377" s="30" t="s">
        <v>44</v>
      </c>
      <c r="G377" s="30" t="s">
        <v>277</v>
      </c>
      <c r="H377" s="32">
        <v>-32.0</v>
      </c>
      <c r="I377" s="35"/>
      <c r="J377" s="35"/>
      <c r="K377" s="37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</row>
    <row r="378" ht="22.5" customHeight="1">
      <c r="A378" s="38" t="s">
        <v>845</v>
      </c>
      <c r="B378" s="21">
        <v>46137.0</v>
      </c>
      <c r="C378" s="30" t="s">
        <v>54</v>
      </c>
      <c r="D378" s="19" t="s">
        <v>846</v>
      </c>
      <c r="E378" s="19" t="s">
        <v>847</v>
      </c>
      <c r="F378" s="30" t="s">
        <v>35</v>
      </c>
      <c r="G378" s="30" t="s">
        <v>251</v>
      </c>
      <c r="H378" s="32">
        <v>-68.4</v>
      </c>
      <c r="I378" s="35"/>
      <c r="J378" s="35"/>
      <c r="K378" s="37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</row>
    <row r="379" ht="22.5" customHeight="1">
      <c r="A379" s="38" t="s">
        <v>848</v>
      </c>
      <c r="B379" s="21">
        <v>46141.0</v>
      </c>
      <c r="C379" s="30" t="s">
        <v>54</v>
      </c>
      <c r="D379" s="19" t="s">
        <v>429</v>
      </c>
      <c r="E379" s="19" t="s">
        <v>335</v>
      </c>
      <c r="F379" s="30" t="s">
        <v>35</v>
      </c>
      <c r="G379" s="30" t="s">
        <v>294</v>
      </c>
      <c r="H379" s="32">
        <v>-4.47</v>
      </c>
      <c r="I379" s="35"/>
      <c r="J379" s="35"/>
      <c r="K379" s="37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</row>
    <row r="380" ht="22.5" customHeight="1">
      <c r="A380" s="38" t="s">
        <v>849</v>
      </c>
      <c r="B380" s="21">
        <v>46142.0</v>
      </c>
      <c r="C380" s="128" t="s">
        <v>145</v>
      </c>
      <c r="D380" s="19" t="s">
        <v>331</v>
      </c>
      <c r="E380" s="129" t="s">
        <v>285</v>
      </c>
      <c r="F380" s="128" t="s">
        <v>6</v>
      </c>
      <c r="G380" s="128" t="s">
        <v>285</v>
      </c>
      <c r="H380" s="32">
        <v>5.36</v>
      </c>
      <c r="I380" s="40"/>
      <c r="J380" s="40"/>
      <c r="K380" s="37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</row>
    <row r="381" ht="22.5" customHeight="1">
      <c r="A381" s="38" t="s">
        <v>850</v>
      </c>
      <c r="B381" s="21">
        <v>46142.0</v>
      </c>
      <c r="C381" s="30" t="s">
        <v>34</v>
      </c>
      <c r="D381" s="19" t="s">
        <v>321</v>
      </c>
      <c r="E381" s="19" t="s">
        <v>321</v>
      </c>
      <c r="F381" s="30" t="s">
        <v>103</v>
      </c>
      <c r="G381" s="30" t="s">
        <v>279</v>
      </c>
      <c r="H381" s="32">
        <v>-361.81</v>
      </c>
      <c r="I381" s="35"/>
      <c r="J381" s="35"/>
      <c r="K381" s="37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</row>
    <row r="382" ht="22.5" customHeight="1">
      <c r="A382" s="38" t="s">
        <v>851</v>
      </c>
      <c r="B382" s="21">
        <v>46142.0</v>
      </c>
      <c r="C382" s="30" t="s">
        <v>134</v>
      </c>
      <c r="D382" s="19" t="s">
        <v>321</v>
      </c>
      <c r="E382" s="19" t="s">
        <v>321</v>
      </c>
      <c r="F382" s="30" t="s">
        <v>103</v>
      </c>
      <c r="G382" s="30" t="s">
        <v>105</v>
      </c>
      <c r="H382" s="32">
        <v>361.81</v>
      </c>
      <c r="I382" s="35"/>
      <c r="J382" s="35"/>
      <c r="K382" s="37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</row>
    <row r="383" ht="22.5" customHeight="1">
      <c r="A383" s="38" t="s">
        <v>852</v>
      </c>
      <c r="B383" s="21">
        <v>46142.0</v>
      </c>
      <c r="C383" s="30" t="s">
        <v>34</v>
      </c>
      <c r="D383" s="19" t="s">
        <v>456</v>
      </c>
      <c r="E383" s="19" t="s">
        <v>456</v>
      </c>
      <c r="F383" s="30" t="s">
        <v>22</v>
      </c>
      <c r="G383" s="30" t="s">
        <v>92</v>
      </c>
      <c r="H383" s="32">
        <v>-398.0</v>
      </c>
      <c r="I383" s="35"/>
      <c r="J383" s="35"/>
      <c r="K383" s="37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</row>
    <row r="384" ht="22.5" customHeight="1">
      <c r="A384" s="38" t="s">
        <v>853</v>
      </c>
      <c r="B384" s="21">
        <v>46142.0</v>
      </c>
      <c r="C384" s="30" t="s">
        <v>102</v>
      </c>
      <c r="D384" s="19" t="s">
        <v>456</v>
      </c>
      <c r="E384" s="19" t="s">
        <v>456</v>
      </c>
      <c r="F384" s="30" t="s">
        <v>103</v>
      </c>
      <c r="G384" s="30" t="s">
        <v>105</v>
      </c>
      <c r="H384" s="32">
        <v>398.0</v>
      </c>
      <c r="I384" s="35"/>
      <c r="J384" s="35"/>
      <c r="K384" s="37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</row>
    <row r="385" ht="22.5" customHeight="1">
      <c r="A385" s="38" t="s">
        <v>854</v>
      </c>
      <c r="B385" s="21">
        <v>46142.0</v>
      </c>
      <c r="C385" s="30" t="s">
        <v>34</v>
      </c>
      <c r="D385" s="19" t="s">
        <v>456</v>
      </c>
      <c r="E385" s="19" t="s">
        <v>456</v>
      </c>
      <c r="F385" s="30" t="s">
        <v>22</v>
      </c>
      <c r="G385" s="30" t="s">
        <v>92</v>
      </c>
      <c r="H385" s="32">
        <v>-398.06</v>
      </c>
      <c r="I385" s="35"/>
      <c r="J385" s="35"/>
      <c r="K385" s="37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</row>
    <row r="386" ht="22.5" customHeight="1">
      <c r="A386" s="38" t="s">
        <v>855</v>
      </c>
      <c r="B386" s="21">
        <v>46142.0</v>
      </c>
      <c r="C386" s="30" t="s">
        <v>121</v>
      </c>
      <c r="D386" s="19" t="s">
        <v>456</v>
      </c>
      <c r="E386" s="19" t="s">
        <v>456</v>
      </c>
      <c r="F386" s="30" t="s">
        <v>103</v>
      </c>
      <c r="G386" s="30" t="s">
        <v>105</v>
      </c>
      <c r="H386" s="32">
        <v>398.06</v>
      </c>
      <c r="I386" s="35"/>
      <c r="J386" s="35"/>
      <c r="K386" s="37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</row>
    <row r="387" ht="22.5" customHeight="1">
      <c r="A387" s="38" t="s">
        <v>856</v>
      </c>
      <c r="B387" s="21">
        <v>46142.0</v>
      </c>
      <c r="C387" s="96" t="s">
        <v>52</v>
      </c>
      <c r="D387" s="19" t="s">
        <v>331</v>
      </c>
      <c r="E387" s="19" t="s">
        <v>469</v>
      </c>
      <c r="F387" s="30" t="s">
        <v>6</v>
      </c>
      <c r="G387" s="30" t="s">
        <v>280</v>
      </c>
      <c r="H387" s="32">
        <v>57.52</v>
      </c>
      <c r="I387" s="35"/>
      <c r="J387" s="35"/>
      <c r="K387" s="37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</row>
    <row r="388" ht="22.5" customHeight="1">
      <c r="A388" s="38" t="s">
        <v>857</v>
      </c>
      <c r="B388" s="21">
        <v>46143.0</v>
      </c>
      <c r="C388" s="96" t="s">
        <v>54</v>
      </c>
      <c r="D388" s="27" t="s">
        <v>147</v>
      </c>
      <c r="E388" s="27" t="s">
        <v>148</v>
      </c>
      <c r="F388" s="30" t="s">
        <v>11</v>
      </c>
      <c r="G388" s="30" t="s">
        <v>62</v>
      </c>
      <c r="H388" s="32">
        <v>-160.0</v>
      </c>
      <c r="I388" s="35"/>
      <c r="J388" s="35"/>
      <c r="K388" s="37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</row>
    <row r="389" ht="22.5" customHeight="1">
      <c r="A389" s="38" t="s">
        <v>858</v>
      </c>
      <c r="B389" s="21">
        <v>46143.0</v>
      </c>
      <c r="C389" s="96" t="s">
        <v>134</v>
      </c>
      <c r="D389" s="27" t="s">
        <v>147</v>
      </c>
      <c r="E389" s="27" t="s">
        <v>148</v>
      </c>
      <c r="F389" s="30" t="s">
        <v>11</v>
      </c>
      <c r="G389" s="30" t="s">
        <v>62</v>
      </c>
      <c r="H389" s="32">
        <v>-80.0</v>
      </c>
      <c r="I389" s="35"/>
      <c r="J389" s="35"/>
      <c r="K389" s="37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</row>
    <row r="390" ht="22.5" customHeight="1">
      <c r="A390" s="38" t="s">
        <v>859</v>
      </c>
      <c r="B390" s="21">
        <v>46143.0</v>
      </c>
      <c r="C390" s="30" t="s">
        <v>134</v>
      </c>
      <c r="D390" s="19" t="s">
        <v>56</v>
      </c>
      <c r="E390" s="19" t="s">
        <v>33</v>
      </c>
      <c r="F390" s="30" t="s">
        <v>11</v>
      </c>
      <c r="G390" s="30" t="s">
        <v>8</v>
      </c>
      <c r="H390" s="43">
        <v>-24.51</v>
      </c>
      <c r="I390" s="35"/>
      <c r="J390" s="35"/>
      <c r="K390" s="37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</row>
    <row r="391" ht="22.5" customHeight="1">
      <c r="A391" s="38" t="s">
        <v>860</v>
      </c>
      <c r="B391" s="21">
        <v>46143.0</v>
      </c>
      <c r="C391" s="30" t="s">
        <v>34</v>
      </c>
      <c r="D391" s="27" t="s">
        <v>37</v>
      </c>
      <c r="E391" s="19" t="s">
        <v>9</v>
      </c>
      <c r="F391" s="30" t="s">
        <v>11</v>
      </c>
      <c r="G391" s="30" t="s">
        <v>8</v>
      </c>
      <c r="H391" s="32">
        <v>-2300.0</v>
      </c>
      <c r="I391" s="35"/>
      <c r="J391" s="35"/>
      <c r="K391" s="37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</row>
    <row r="392" ht="22.5" customHeight="1">
      <c r="A392" s="38" t="s">
        <v>861</v>
      </c>
      <c r="B392" s="21">
        <v>46143.0</v>
      </c>
      <c r="C392" s="30" t="s">
        <v>54</v>
      </c>
      <c r="D392" s="19" t="s">
        <v>385</v>
      </c>
      <c r="E392" s="19" t="s">
        <v>224</v>
      </c>
      <c r="F392" s="30" t="s">
        <v>11</v>
      </c>
      <c r="G392" s="30" t="s">
        <v>42</v>
      </c>
      <c r="H392" s="32">
        <v>-4.92</v>
      </c>
      <c r="I392" s="40">
        <v>2.0</v>
      </c>
      <c r="J392" s="40" t="s">
        <v>170</v>
      </c>
      <c r="K392" s="37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</row>
    <row r="393" ht="22.5" customHeight="1">
      <c r="A393" s="38" t="s">
        <v>862</v>
      </c>
      <c r="B393" s="21">
        <v>46143.0</v>
      </c>
      <c r="C393" s="30" t="s">
        <v>54</v>
      </c>
      <c r="D393" s="19" t="s">
        <v>385</v>
      </c>
      <c r="E393" s="19" t="s">
        <v>218</v>
      </c>
      <c r="F393" s="30" t="s">
        <v>11</v>
      </c>
      <c r="G393" s="30" t="s">
        <v>42</v>
      </c>
      <c r="H393" s="32">
        <v>-7.42</v>
      </c>
      <c r="I393" s="40">
        <v>0.5</v>
      </c>
      <c r="J393" s="40" t="s">
        <v>166</v>
      </c>
      <c r="K393" s="37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</row>
    <row r="394" ht="22.5" customHeight="1">
      <c r="A394" s="38" t="s">
        <v>863</v>
      </c>
      <c r="B394" s="21">
        <v>46143.0</v>
      </c>
      <c r="C394" s="30" t="s">
        <v>54</v>
      </c>
      <c r="D394" s="19" t="s">
        <v>385</v>
      </c>
      <c r="E394" s="19" t="s">
        <v>572</v>
      </c>
      <c r="F394" s="30" t="s">
        <v>11</v>
      </c>
      <c r="G394" s="30" t="s">
        <v>42</v>
      </c>
      <c r="H394" s="32">
        <v>-8.97</v>
      </c>
      <c r="I394" s="40">
        <v>3.0</v>
      </c>
      <c r="J394" s="40" t="s">
        <v>399</v>
      </c>
      <c r="K394" s="37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</row>
    <row r="395" ht="22.5" customHeight="1">
      <c r="A395" s="38" t="s">
        <v>864</v>
      </c>
      <c r="B395" s="21">
        <v>46143.0</v>
      </c>
      <c r="C395" s="30" t="s">
        <v>54</v>
      </c>
      <c r="D395" s="19" t="s">
        <v>385</v>
      </c>
      <c r="E395" s="19" t="s">
        <v>865</v>
      </c>
      <c r="F395" s="30" t="s">
        <v>11</v>
      </c>
      <c r="G395" s="30" t="s">
        <v>42</v>
      </c>
      <c r="H395" s="32">
        <v>-3.77</v>
      </c>
      <c r="I395" s="40">
        <v>2.5</v>
      </c>
      <c r="J395" s="40" t="s">
        <v>188</v>
      </c>
      <c r="K395" s="37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</row>
    <row r="396" ht="22.5" customHeight="1">
      <c r="A396" s="38" t="s">
        <v>866</v>
      </c>
      <c r="B396" s="21">
        <v>46143.0</v>
      </c>
      <c r="C396" s="30" t="s">
        <v>54</v>
      </c>
      <c r="D396" s="19" t="s">
        <v>385</v>
      </c>
      <c r="E396" s="19" t="s">
        <v>689</v>
      </c>
      <c r="F396" s="30" t="s">
        <v>11</v>
      </c>
      <c r="G396" s="30" t="s">
        <v>42</v>
      </c>
      <c r="H396" s="32">
        <v>-32.04</v>
      </c>
      <c r="I396" s="40">
        <v>0.933</v>
      </c>
      <c r="J396" s="40" t="s">
        <v>188</v>
      </c>
      <c r="K396" s="37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</row>
    <row r="397" ht="22.5" customHeight="1">
      <c r="A397" s="38" t="s">
        <v>867</v>
      </c>
      <c r="B397" s="21">
        <v>46143.0</v>
      </c>
      <c r="C397" s="30" t="s">
        <v>54</v>
      </c>
      <c r="D397" s="19" t="s">
        <v>385</v>
      </c>
      <c r="E397" s="19" t="s">
        <v>237</v>
      </c>
      <c r="F397" s="30" t="s">
        <v>11</v>
      </c>
      <c r="G397" s="30" t="s">
        <v>42</v>
      </c>
      <c r="H397" s="32">
        <v>-6.03</v>
      </c>
      <c r="I397" s="40">
        <v>1.998</v>
      </c>
      <c r="J397" s="40" t="s">
        <v>188</v>
      </c>
      <c r="K397" s="37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</row>
    <row r="398" ht="22.5" customHeight="1">
      <c r="A398" s="38" t="s">
        <v>868</v>
      </c>
      <c r="B398" s="21">
        <v>46143.0</v>
      </c>
      <c r="C398" s="30" t="s">
        <v>34</v>
      </c>
      <c r="D398" s="19" t="s">
        <v>321</v>
      </c>
      <c r="E398" s="19" t="s">
        <v>321</v>
      </c>
      <c r="F398" s="30" t="s">
        <v>103</v>
      </c>
      <c r="G398" s="30" t="s">
        <v>279</v>
      </c>
      <c r="H398" s="32">
        <v>-334.8</v>
      </c>
      <c r="I398" s="40"/>
      <c r="J398" s="40"/>
      <c r="K398" s="37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</row>
    <row r="399" ht="22.5" customHeight="1">
      <c r="A399" s="38" t="s">
        <v>869</v>
      </c>
      <c r="B399" s="21">
        <v>46143.0</v>
      </c>
      <c r="C399" s="30" t="s">
        <v>54</v>
      </c>
      <c r="D399" s="19" t="s">
        <v>321</v>
      </c>
      <c r="E399" s="19" t="s">
        <v>321</v>
      </c>
      <c r="F399" s="30" t="s">
        <v>103</v>
      </c>
      <c r="G399" s="30" t="s">
        <v>105</v>
      </c>
      <c r="H399" s="32">
        <v>334.8</v>
      </c>
      <c r="I399" s="40"/>
      <c r="J399" s="40"/>
      <c r="K399" s="37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</row>
    <row r="400" ht="22.5" customHeight="1">
      <c r="A400" s="38" t="s">
        <v>870</v>
      </c>
      <c r="B400" s="21">
        <v>46144.0</v>
      </c>
      <c r="C400" s="30" t="s">
        <v>54</v>
      </c>
      <c r="D400" s="19" t="s">
        <v>871</v>
      </c>
      <c r="E400" s="19" t="s">
        <v>581</v>
      </c>
      <c r="F400" s="30" t="s">
        <v>35</v>
      </c>
      <c r="G400" s="30" t="s">
        <v>251</v>
      </c>
      <c r="H400" s="32">
        <v>-46.9</v>
      </c>
      <c r="I400" s="35"/>
      <c r="J400" s="35"/>
      <c r="K400" s="37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</row>
    <row r="401" ht="22.5" customHeight="1">
      <c r="A401" s="38" t="s">
        <v>872</v>
      </c>
      <c r="B401" s="21">
        <v>46148.0</v>
      </c>
      <c r="C401" s="30" t="s">
        <v>134</v>
      </c>
      <c r="D401" s="19" t="s">
        <v>258</v>
      </c>
      <c r="E401" s="19" t="s">
        <v>24</v>
      </c>
      <c r="F401" s="30" t="s">
        <v>11</v>
      </c>
      <c r="G401" s="30" t="s">
        <v>8</v>
      </c>
      <c r="H401" s="32">
        <v>-67.2</v>
      </c>
      <c r="I401" s="35"/>
      <c r="J401" s="35"/>
      <c r="K401" s="37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</row>
    <row r="402" ht="22.5" customHeight="1">
      <c r="A402" s="38" t="s">
        <v>873</v>
      </c>
      <c r="B402" s="21">
        <v>46148.0</v>
      </c>
      <c r="C402" s="30" t="s">
        <v>54</v>
      </c>
      <c r="D402" s="19" t="s">
        <v>475</v>
      </c>
      <c r="E402" s="19" t="s">
        <v>693</v>
      </c>
      <c r="F402" s="30" t="s">
        <v>11</v>
      </c>
      <c r="G402" s="30" t="s">
        <v>42</v>
      </c>
      <c r="H402" s="32">
        <v>-6.97</v>
      </c>
      <c r="I402" s="40">
        <v>1.0</v>
      </c>
      <c r="J402" s="40" t="s">
        <v>188</v>
      </c>
      <c r="K402" s="37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</row>
    <row r="403" ht="22.5" customHeight="1">
      <c r="A403" s="38" t="s">
        <v>874</v>
      </c>
      <c r="B403" s="21">
        <v>46148.0</v>
      </c>
      <c r="C403" s="96" t="s">
        <v>54</v>
      </c>
      <c r="D403" s="19" t="s">
        <v>475</v>
      </c>
      <c r="E403" s="19" t="s">
        <v>729</v>
      </c>
      <c r="F403" s="30" t="s">
        <v>11</v>
      </c>
      <c r="G403" s="30" t="s">
        <v>42</v>
      </c>
      <c r="H403" s="32">
        <v>-43.02</v>
      </c>
      <c r="I403" s="40">
        <v>1.951</v>
      </c>
      <c r="J403" s="40" t="s">
        <v>188</v>
      </c>
      <c r="K403" s="37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</row>
    <row r="404" ht="22.5" customHeight="1">
      <c r="A404" s="38" t="s">
        <v>875</v>
      </c>
      <c r="B404" s="21">
        <v>46148.0</v>
      </c>
      <c r="C404" s="96" t="s">
        <v>54</v>
      </c>
      <c r="D404" s="19" t="s">
        <v>475</v>
      </c>
      <c r="E404" s="19" t="s">
        <v>742</v>
      </c>
      <c r="F404" s="30" t="s">
        <v>11</v>
      </c>
      <c r="G404" s="30" t="s">
        <v>42</v>
      </c>
      <c r="H404" s="32">
        <v>-2.86</v>
      </c>
      <c r="I404" s="40">
        <v>2.0</v>
      </c>
      <c r="J404" s="40" t="s">
        <v>201</v>
      </c>
      <c r="K404" s="37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</row>
    <row r="405" ht="22.5" customHeight="1">
      <c r="A405" s="38" t="s">
        <v>876</v>
      </c>
      <c r="B405" s="21">
        <v>46149.0</v>
      </c>
      <c r="C405" s="30" t="s">
        <v>54</v>
      </c>
      <c r="D405" s="19" t="s">
        <v>317</v>
      </c>
      <c r="E405" s="19" t="s">
        <v>877</v>
      </c>
      <c r="F405" s="30" t="s">
        <v>44</v>
      </c>
      <c r="G405" s="30" t="s">
        <v>283</v>
      </c>
      <c r="H405" s="32">
        <v>-150.0</v>
      </c>
      <c r="I405" s="35"/>
      <c r="J405" s="35"/>
      <c r="K405" s="37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</row>
    <row r="406" ht="22.5" customHeight="1">
      <c r="A406" s="38" t="s">
        <v>878</v>
      </c>
      <c r="B406" s="21">
        <v>46150.0</v>
      </c>
      <c r="C406" s="30" t="s">
        <v>34</v>
      </c>
      <c r="D406" s="19" t="s">
        <v>321</v>
      </c>
      <c r="E406" s="19" t="s">
        <v>321</v>
      </c>
      <c r="F406" s="30" t="s">
        <v>103</v>
      </c>
      <c r="G406" s="30" t="s">
        <v>279</v>
      </c>
      <c r="H406" s="32">
        <v>-249.75</v>
      </c>
      <c r="I406" s="40"/>
      <c r="J406" s="40"/>
      <c r="K406" s="37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</row>
    <row r="407" ht="22.5" customHeight="1">
      <c r="A407" s="38" t="s">
        <v>879</v>
      </c>
      <c r="B407" s="21">
        <v>46150.0</v>
      </c>
      <c r="C407" s="30" t="s">
        <v>54</v>
      </c>
      <c r="D407" s="19" t="s">
        <v>321</v>
      </c>
      <c r="E407" s="19" t="s">
        <v>321</v>
      </c>
      <c r="F407" s="30" t="s">
        <v>103</v>
      </c>
      <c r="G407" s="30" t="s">
        <v>105</v>
      </c>
      <c r="H407" s="32">
        <v>249.75</v>
      </c>
      <c r="I407" s="40"/>
      <c r="J407" s="40"/>
      <c r="K407" s="37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</row>
    <row r="408" ht="22.5" customHeight="1">
      <c r="A408" s="38" t="s">
        <v>880</v>
      </c>
      <c r="B408" s="21">
        <v>46150.0</v>
      </c>
      <c r="C408" s="30" t="s">
        <v>34</v>
      </c>
      <c r="D408" s="41" t="s">
        <v>69</v>
      </c>
      <c r="E408" s="19" t="s">
        <v>70</v>
      </c>
      <c r="F408" s="30" t="s">
        <v>6</v>
      </c>
      <c r="G408" s="30" t="s">
        <v>70</v>
      </c>
      <c r="H408" s="32">
        <v>2010.98</v>
      </c>
      <c r="I408" s="35"/>
      <c r="J408" s="35"/>
      <c r="K408" s="37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</row>
    <row r="409" ht="22.5" customHeight="1">
      <c r="A409" s="38" t="s">
        <v>881</v>
      </c>
      <c r="B409" s="21">
        <v>46150.0</v>
      </c>
      <c r="C409" s="30" t="s">
        <v>34</v>
      </c>
      <c r="D409" s="49" t="s">
        <v>78</v>
      </c>
      <c r="E409" s="42" t="s">
        <v>70</v>
      </c>
      <c r="F409" s="30" t="s">
        <v>6</v>
      </c>
      <c r="G409" s="30" t="s">
        <v>70</v>
      </c>
      <c r="H409" s="32">
        <v>1560.23</v>
      </c>
      <c r="I409" s="35"/>
      <c r="J409" s="35"/>
      <c r="K409" s="37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</row>
    <row r="410" ht="22.5" customHeight="1">
      <c r="A410" s="38" t="s">
        <v>882</v>
      </c>
      <c r="B410" s="21">
        <v>46150.0</v>
      </c>
      <c r="C410" s="128" t="s">
        <v>34</v>
      </c>
      <c r="D410" s="129" t="s">
        <v>22</v>
      </c>
      <c r="E410" s="129" t="s">
        <v>22</v>
      </c>
      <c r="F410" s="30" t="s">
        <v>22</v>
      </c>
      <c r="G410" s="30" t="s">
        <v>92</v>
      </c>
      <c r="H410" s="32">
        <v>-500.0</v>
      </c>
      <c r="I410" s="138"/>
      <c r="J410" s="138"/>
      <c r="K410" s="134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</row>
    <row r="411" ht="22.5" customHeight="1">
      <c r="A411" s="38" t="s">
        <v>883</v>
      </c>
      <c r="B411" s="21">
        <v>46150.0</v>
      </c>
      <c r="C411" s="30" t="s">
        <v>102</v>
      </c>
      <c r="D411" s="132" t="s">
        <v>22</v>
      </c>
      <c r="E411" s="132" t="s">
        <v>22</v>
      </c>
      <c r="F411" s="135" t="s">
        <v>103</v>
      </c>
      <c r="G411" s="135" t="s">
        <v>105</v>
      </c>
      <c r="H411" s="32">
        <v>500.0</v>
      </c>
      <c r="I411" s="139"/>
      <c r="J411" s="139"/>
      <c r="K411" s="133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</row>
    <row r="412" ht="22.5" customHeight="1">
      <c r="A412" s="38" t="s">
        <v>884</v>
      </c>
      <c r="B412" s="21">
        <v>46150.0</v>
      </c>
      <c r="C412" s="128" t="s">
        <v>34</v>
      </c>
      <c r="D412" s="129" t="s">
        <v>22</v>
      </c>
      <c r="E412" s="129" t="s">
        <v>22</v>
      </c>
      <c r="F412" s="30" t="s">
        <v>22</v>
      </c>
      <c r="G412" s="30" t="s">
        <v>92</v>
      </c>
      <c r="H412" s="140">
        <v>-500.0</v>
      </c>
      <c r="I412" s="138"/>
      <c r="J412" s="138"/>
      <c r="K412" s="134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</row>
    <row r="413" ht="22.5" customHeight="1">
      <c r="A413" s="38" t="s">
        <v>885</v>
      </c>
      <c r="B413" s="21">
        <v>46150.0</v>
      </c>
      <c r="C413" s="30" t="s">
        <v>121</v>
      </c>
      <c r="D413" s="132" t="s">
        <v>22</v>
      </c>
      <c r="E413" s="132" t="s">
        <v>22</v>
      </c>
      <c r="F413" s="135" t="s">
        <v>103</v>
      </c>
      <c r="G413" s="135" t="s">
        <v>105</v>
      </c>
      <c r="H413" s="141">
        <v>500.0</v>
      </c>
      <c r="I413" s="139"/>
      <c r="J413" s="139"/>
      <c r="K413" s="133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</row>
    <row r="414" ht="22.5" customHeight="1">
      <c r="A414" s="38" t="s">
        <v>886</v>
      </c>
      <c r="B414" s="21">
        <v>46150.0</v>
      </c>
      <c r="C414" s="128" t="s">
        <v>34</v>
      </c>
      <c r="D414" s="129" t="s">
        <v>17</v>
      </c>
      <c r="E414" s="129" t="s">
        <v>17</v>
      </c>
      <c r="F414" s="130" t="s">
        <v>17</v>
      </c>
      <c r="G414" s="30" t="s">
        <v>297</v>
      </c>
      <c r="H414" s="32">
        <v>-1000.0</v>
      </c>
      <c r="I414" s="138"/>
      <c r="J414" s="138"/>
      <c r="K414" s="134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</row>
    <row r="415" ht="22.5" customHeight="1">
      <c r="A415" s="38" t="s">
        <v>887</v>
      </c>
      <c r="B415" s="21">
        <v>46150.0</v>
      </c>
      <c r="C415" s="142" t="s">
        <v>52</v>
      </c>
      <c r="D415" s="132" t="s">
        <v>17</v>
      </c>
      <c r="E415" s="132" t="s">
        <v>17</v>
      </c>
      <c r="F415" s="143" t="s">
        <v>103</v>
      </c>
      <c r="G415" s="143" t="s">
        <v>105</v>
      </c>
      <c r="H415" s="32">
        <v>1000.0</v>
      </c>
      <c r="I415" s="139"/>
      <c r="J415" s="139"/>
      <c r="K415" s="133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</row>
    <row r="416" ht="22.5" customHeight="1">
      <c r="A416" s="38" t="s">
        <v>888</v>
      </c>
      <c r="B416" s="21">
        <v>46151.0</v>
      </c>
      <c r="C416" s="30" t="s">
        <v>134</v>
      </c>
      <c r="D416" s="49" t="s">
        <v>253</v>
      </c>
      <c r="E416" s="49" t="s">
        <v>889</v>
      </c>
      <c r="F416" s="30" t="s">
        <v>11</v>
      </c>
      <c r="G416" s="30" t="s">
        <v>66</v>
      </c>
      <c r="H416" s="32">
        <v>-23.49</v>
      </c>
      <c r="I416" s="35"/>
      <c r="J416" s="35"/>
      <c r="K416" s="37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</row>
    <row r="417" ht="22.5" customHeight="1">
      <c r="A417" s="38" t="s">
        <v>890</v>
      </c>
      <c r="B417" s="21">
        <v>46151.0</v>
      </c>
      <c r="C417" s="30" t="s">
        <v>54</v>
      </c>
      <c r="D417" s="19" t="s">
        <v>891</v>
      </c>
      <c r="E417" s="19" t="s">
        <v>892</v>
      </c>
      <c r="F417" s="30" t="s">
        <v>35</v>
      </c>
      <c r="G417" s="30" t="s">
        <v>251</v>
      </c>
      <c r="H417" s="32">
        <v>-57.25</v>
      </c>
      <c r="I417" s="35"/>
      <c r="J417" s="35"/>
      <c r="K417" s="37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</row>
    <row r="418" ht="22.5" customHeight="1">
      <c r="A418" s="38" t="s">
        <v>893</v>
      </c>
      <c r="B418" s="21">
        <v>46151.0</v>
      </c>
      <c r="C418" s="30" t="s">
        <v>54</v>
      </c>
      <c r="D418" s="19" t="s">
        <v>517</v>
      </c>
      <c r="E418" s="19" t="s">
        <v>894</v>
      </c>
      <c r="F418" s="30" t="s">
        <v>35</v>
      </c>
      <c r="G418" s="30" t="s">
        <v>277</v>
      </c>
      <c r="H418" s="32">
        <v>-55.0</v>
      </c>
      <c r="I418" s="35"/>
      <c r="J418" s="35"/>
      <c r="K418" s="37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</row>
    <row r="419" ht="22.5" customHeight="1">
      <c r="A419" s="38" t="s">
        <v>895</v>
      </c>
      <c r="B419" s="21">
        <v>46151.0</v>
      </c>
      <c r="C419" s="30" t="s">
        <v>54</v>
      </c>
      <c r="D419" s="19" t="s">
        <v>896</v>
      </c>
      <c r="E419" s="19" t="s">
        <v>897</v>
      </c>
      <c r="F419" s="30" t="s">
        <v>11</v>
      </c>
      <c r="G419" s="30" t="s">
        <v>57</v>
      </c>
      <c r="H419" s="32">
        <v>-105.0</v>
      </c>
      <c r="I419" s="35"/>
      <c r="J419" s="35"/>
      <c r="K419" s="37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</row>
    <row r="420" ht="22.5" customHeight="1">
      <c r="A420" s="38" t="s">
        <v>898</v>
      </c>
      <c r="B420" s="21">
        <v>46151.0</v>
      </c>
      <c r="C420" s="30" t="s">
        <v>54</v>
      </c>
      <c r="D420" s="19" t="s">
        <v>896</v>
      </c>
      <c r="E420" s="19" t="s">
        <v>899</v>
      </c>
      <c r="F420" s="30" t="s">
        <v>11</v>
      </c>
      <c r="G420" s="30" t="s">
        <v>57</v>
      </c>
      <c r="H420" s="32">
        <v>-200.0</v>
      </c>
      <c r="I420" s="35"/>
      <c r="J420" s="35"/>
      <c r="K420" s="37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</row>
    <row r="421" ht="22.5" customHeight="1">
      <c r="A421" s="38" t="s">
        <v>900</v>
      </c>
      <c r="B421" s="21">
        <v>46151.0</v>
      </c>
      <c r="C421" s="30" t="s">
        <v>54</v>
      </c>
      <c r="D421" s="19" t="s">
        <v>896</v>
      </c>
      <c r="E421" s="19" t="s">
        <v>901</v>
      </c>
      <c r="F421" s="30" t="s">
        <v>11</v>
      </c>
      <c r="G421" s="30" t="s">
        <v>57</v>
      </c>
      <c r="H421" s="32">
        <v>-190.0</v>
      </c>
      <c r="I421" s="35"/>
      <c r="J421" s="35"/>
      <c r="K421" s="37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</row>
    <row r="422" ht="22.5" customHeight="1">
      <c r="A422" s="38" t="s">
        <v>902</v>
      </c>
      <c r="B422" s="21">
        <v>46152.0</v>
      </c>
      <c r="C422" s="128" t="s">
        <v>142</v>
      </c>
      <c r="D422" s="19" t="s">
        <v>331</v>
      </c>
      <c r="E422" s="129" t="s">
        <v>285</v>
      </c>
      <c r="F422" s="128" t="s">
        <v>6</v>
      </c>
      <c r="G422" s="128" t="s">
        <v>285</v>
      </c>
      <c r="H422" s="32">
        <v>17.98</v>
      </c>
      <c r="I422" s="35"/>
      <c r="J422" s="35"/>
      <c r="K422" s="37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</row>
    <row r="423" ht="22.5" customHeight="1">
      <c r="A423" s="38" t="s">
        <v>903</v>
      </c>
      <c r="B423" s="21">
        <v>46153.0</v>
      </c>
      <c r="C423" s="30" t="s">
        <v>54</v>
      </c>
      <c r="D423" s="19" t="s">
        <v>334</v>
      </c>
      <c r="E423" s="19" t="s">
        <v>335</v>
      </c>
      <c r="F423" s="30" t="s">
        <v>35</v>
      </c>
      <c r="G423" s="30" t="s">
        <v>294</v>
      </c>
      <c r="H423" s="32">
        <v>-20.04</v>
      </c>
      <c r="I423" s="35"/>
      <c r="J423" s="35"/>
      <c r="K423" s="37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</row>
    <row r="424" ht="22.5" customHeight="1">
      <c r="A424" s="38" t="s">
        <v>904</v>
      </c>
      <c r="B424" s="21">
        <v>46154.0</v>
      </c>
      <c r="C424" s="101" t="s">
        <v>34</v>
      </c>
      <c r="D424" s="19" t="s">
        <v>340</v>
      </c>
      <c r="E424" s="100" t="s">
        <v>20</v>
      </c>
      <c r="F424" s="101" t="s">
        <v>11</v>
      </c>
      <c r="G424" s="101" t="s">
        <v>8</v>
      </c>
      <c r="H424" s="32">
        <v>-83.51</v>
      </c>
      <c r="I424" s="35"/>
      <c r="J424" s="35"/>
      <c r="K424" s="37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</row>
    <row r="425" ht="22.5" customHeight="1">
      <c r="A425" s="38" t="s">
        <v>905</v>
      </c>
      <c r="B425" s="21">
        <v>46155.0</v>
      </c>
      <c r="C425" s="30" t="s">
        <v>54</v>
      </c>
      <c r="D425" s="19" t="s">
        <v>385</v>
      </c>
      <c r="E425" s="19" t="s">
        <v>354</v>
      </c>
      <c r="F425" s="30" t="s">
        <v>11</v>
      </c>
      <c r="G425" s="30" t="s">
        <v>42</v>
      </c>
      <c r="H425" s="32">
        <v>-4.29</v>
      </c>
      <c r="I425" s="40">
        <v>12.0</v>
      </c>
      <c r="J425" s="40" t="s">
        <v>355</v>
      </c>
      <c r="K425" s="37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</row>
    <row r="426" ht="22.5" customHeight="1">
      <c r="A426" s="38" t="s">
        <v>906</v>
      </c>
      <c r="B426" s="21">
        <v>46155.0</v>
      </c>
      <c r="C426" s="30" t="s">
        <v>54</v>
      </c>
      <c r="D426" s="19" t="s">
        <v>385</v>
      </c>
      <c r="E426" s="19" t="s">
        <v>389</v>
      </c>
      <c r="F426" s="30" t="s">
        <v>11</v>
      </c>
      <c r="G426" s="30" t="s">
        <v>42</v>
      </c>
      <c r="H426" s="32">
        <v>-1.98</v>
      </c>
      <c r="I426" s="40">
        <v>3.0</v>
      </c>
      <c r="J426" s="40" t="s">
        <v>310</v>
      </c>
      <c r="K426" s="37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</row>
    <row r="427" ht="22.5" customHeight="1">
      <c r="A427" s="38" t="s">
        <v>907</v>
      </c>
      <c r="B427" s="21">
        <v>46155.0</v>
      </c>
      <c r="C427" s="30" t="s">
        <v>54</v>
      </c>
      <c r="D427" s="19" t="s">
        <v>385</v>
      </c>
      <c r="E427" s="19" t="s">
        <v>386</v>
      </c>
      <c r="F427" s="30" t="s">
        <v>11</v>
      </c>
      <c r="G427" s="30" t="s">
        <v>42</v>
      </c>
      <c r="H427" s="32">
        <v>-5.06</v>
      </c>
      <c r="I427" s="40">
        <v>0.45</v>
      </c>
      <c r="J427" s="40" t="s">
        <v>188</v>
      </c>
      <c r="K427" s="37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</row>
    <row r="428" ht="22.5" customHeight="1">
      <c r="A428" s="38" t="s">
        <v>908</v>
      </c>
      <c r="B428" s="21">
        <v>46155.0</v>
      </c>
      <c r="C428" s="30" t="s">
        <v>54</v>
      </c>
      <c r="D428" s="19" t="s">
        <v>385</v>
      </c>
      <c r="E428" s="19" t="s">
        <v>398</v>
      </c>
      <c r="F428" s="30" t="s">
        <v>11</v>
      </c>
      <c r="G428" s="30" t="s">
        <v>42</v>
      </c>
      <c r="H428" s="32">
        <v>-2.48</v>
      </c>
      <c r="I428" s="40">
        <v>1.0</v>
      </c>
      <c r="J428" s="40" t="s">
        <v>399</v>
      </c>
      <c r="K428" s="37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</row>
    <row r="429" ht="22.5" customHeight="1">
      <c r="A429" s="38" t="s">
        <v>909</v>
      </c>
      <c r="B429" s="21">
        <v>46155.0</v>
      </c>
      <c r="C429" s="30" t="s">
        <v>54</v>
      </c>
      <c r="D429" s="19" t="s">
        <v>385</v>
      </c>
      <c r="E429" s="19" t="s">
        <v>402</v>
      </c>
      <c r="F429" s="30" t="s">
        <v>11</v>
      </c>
      <c r="G429" s="30" t="s">
        <v>42</v>
      </c>
      <c r="H429" s="32">
        <v>-7.81</v>
      </c>
      <c r="I429" s="40">
        <v>2.0</v>
      </c>
      <c r="J429" s="40" t="s">
        <v>343</v>
      </c>
      <c r="K429" s="37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</row>
    <row r="430" ht="22.5" customHeight="1">
      <c r="A430" s="38" t="s">
        <v>910</v>
      </c>
      <c r="B430" s="21">
        <v>46155.0</v>
      </c>
      <c r="C430" s="30" t="s">
        <v>54</v>
      </c>
      <c r="D430" s="19" t="s">
        <v>385</v>
      </c>
      <c r="E430" s="19" t="s">
        <v>486</v>
      </c>
      <c r="F430" s="30" t="s">
        <v>11</v>
      </c>
      <c r="G430" s="30" t="s">
        <v>42</v>
      </c>
      <c r="H430" s="32">
        <v>-10.79</v>
      </c>
      <c r="I430" s="40">
        <v>2.0</v>
      </c>
      <c r="J430" s="40" t="s">
        <v>487</v>
      </c>
      <c r="K430" s="37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</row>
    <row r="431" ht="22.5" customHeight="1">
      <c r="A431" s="38" t="s">
        <v>911</v>
      </c>
      <c r="B431" s="21">
        <v>46155.0</v>
      </c>
      <c r="C431" s="30" t="s">
        <v>54</v>
      </c>
      <c r="D431" s="19" t="s">
        <v>385</v>
      </c>
      <c r="E431" s="19" t="s">
        <v>912</v>
      </c>
      <c r="F431" s="30" t="s">
        <v>11</v>
      </c>
      <c r="G431" s="30" t="s">
        <v>42</v>
      </c>
      <c r="H431" s="32">
        <v>-8.75</v>
      </c>
      <c r="I431" s="40">
        <v>0.454</v>
      </c>
      <c r="J431" s="40" t="s">
        <v>188</v>
      </c>
      <c r="K431" s="37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</row>
    <row r="432" ht="22.5" customHeight="1">
      <c r="A432" s="38" t="s">
        <v>913</v>
      </c>
      <c r="B432" s="21">
        <v>46155.0</v>
      </c>
      <c r="C432" s="30" t="s">
        <v>54</v>
      </c>
      <c r="D432" s="19" t="s">
        <v>385</v>
      </c>
      <c r="E432" s="19" t="s">
        <v>574</v>
      </c>
      <c r="F432" s="30" t="s">
        <v>11</v>
      </c>
      <c r="G432" s="30" t="s">
        <v>42</v>
      </c>
      <c r="H432" s="32">
        <v>-9.87</v>
      </c>
      <c r="I432" s="40">
        <v>0.65</v>
      </c>
      <c r="J432" s="40" t="s">
        <v>188</v>
      </c>
      <c r="K432" s="37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</row>
    <row r="433" ht="22.5" customHeight="1">
      <c r="A433" s="38" t="s">
        <v>914</v>
      </c>
      <c r="B433" s="21">
        <v>46155.0</v>
      </c>
      <c r="C433" s="30" t="s">
        <v>54</v>
      </c>
      <c r="D433" s="19" t="s">
        <v>385</v>
      </c>
      <c r="E433" s="19" t="s">
        <v>742</v>
      </c>
      <c r="F433" s="30" t="s">
        <v>11</v>
      </c>
      <c r="G433" s="30" t="s">
        <v>42</v>
      </c>
      <c r="H433" s="32">
        <v>-3.3</v>
      </c>
      <c r="I433" s="40">
        <v>2.0</v>
      </c>
      <c r="J433" s="40" t="s">
        <v>201</v>
      </c>
      <c r="K433" s="37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</row>
    <row r="434" ht="22.5" customHeight="1">
      <c r="A434" s="38" t="s">
        <v>915</v>
      </c>
      <c r="B434" s="21">
        <v>46155.0</v>
      </c>
      <c r="C434" s="30" t="s">
        <v>134</v>
      </c>
      <c r="D434" s="19" t="s">
        <v>314</v>
      </c>
      <c r="E434" s="19" t="s">
        <v>916</v>
      </c>
      <c r="F434" s="30" t="s">
        <v>51</v>
      </c>
      <c r="G434" s="30" t="s">
        <v>283</v>
      </c>
      <c r="H434" s="32">
        <v>-280.0</v>
      </c>
      <c r="I434" s="35"/>
      <c r="J434" s="35"/>
      <c r="K434" s="37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</row>
    <row r="435" ht="22.5" customHeight="1">
      <c r="A435" s="38" t="s">
        <v>917</v>
      </c>
      <c r="B435" s="21">
        <v>46157.0</v>
      </c>
      <c r="C435" s="30" t="s">
        <v>54</v>
      </c>
      <c r="D435" s="19" t="s">
        <v>158</v>
      </c>
      <c r="E435" s="19" t="s">
        <v>159</v>
      </c>
      <c r="F435" s="30" t="s">
        <v>11</v>
      </c>
      <c r="G435" s="30" t="s">
        <v>57</v>
      </c>
      <c r="H435" s="32">
        <v>-134.67</v>
      </c>
      <c r="I435" s="40">
        <v>30.0</v>
      </c>
      <c r="J435" s="40" t="s">
        <v>161</v>
      </c>
      <c r="K435" s="37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</row>
    <row r="436" ht="22.5" customHeight="1">
      <c r="A436" s="38" t="s">
        <v>918</v>
      </c>
      <c r="B436" s="21">
        <v>46157.0</v>
      </c>
      <c r="C436" s="30" t="s">
        <v>34</v>
      </c>
      <c r="D436" s="19" t="s">
        <v>321</v>
      </c>
      <c r="E436" s="19" t="s">
        <v>321</v>
      </c>
      <c r="F436" s="30" t="s">
        <v>103</v>
      </c>
      <c r="G436" s="30" t="s">
        <v>279</v>
      </c>
      <c r="H436" s="32">
        <v>-321.29</v>
      </c>
      <c r="I436" s="40"/>
      <c r="J436" s="40"/>
      <c r="K436" s="37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</row>
    <row r="437" ht="22.5" customHeight="1">
      <c r="A437" s="38" t="s">
        <v>919</v>
      </c>
      <c r="B437" s="21">
        <v>46157.0</v>
      </c>
      <c r="C437" s="30" t="s">
        <v>54</v>
      </c>
      <c r="D437" s="19" t="s">
        <v>321</v>
      </c>
      <c r="E437" s="19" t="s">
        <v>321</v>
      </c>
      <c r="F437" s="30" t="s">
        <v>103</v>
      </c>
      <c r="G437" s="30" t="s">
        <v>105</v>
      </c>
      <c r="H437" s="32">
        <v>321.29</v>
      </c>
      <c r="I437" s="40"/>
      <c r="J437" s="40"/>
      <c r="K437" s="37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</row>
    <row r="438" ht="22.5" customHeight="1">
      <c r="A438" s="38" t="s">
        <v>920</v>
      </c>
      <c r="B438" s="21">
        <v>46158.0</v>
      </c>
      <c r="C438" s="30" t="s">
        <v>54</v>
      </c>
      <c r="D438" s="19" t="s">
        <v>385</v>
      </c>
      <c r="E438" s="19" t="s">
        <v>466</v>
      </c>
      <c r="F438" s="30" t="s">
        <v>11</v>
      </c>
      <c r="G438" s="30" t="s">
        <v>42</v>
      </c>
      <c r="H438" s="32">
        <v>-7.2</v>
      </c>
      <c r="I438" s="40">
        <v>1.461</v>
      </c>
      <c r="J438" s="40" t="s">
        <v>188</v>
      </c>
      <c r="K438" s="37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</row>
    <row r="439" ht="22.5" customHeight="1">
      <c r="A439" s="38" t="s">
        <v>921</v>
      </c>
      <c r="B439" s="21">
        <v>46158.0</v>
      </c>
      <c r="C439" s="30" t="s">
        <v>54</v>
      </c>
      <c r="D439" s="19" t="s">
        <v>385</v>
      </c>
      <c r="E439" s="19" t="s">
        <v>736</v>
      </c>
      <c r="F439" s="30" t="s">
        <v>11</v>
      </c>
      <c r="G439" s="30" t="s">
        <v>42</v>
      </c>
      <c r="H439" s="32">
        <v>-5.9</v>
      </c>
      <c r="I439" s="40">
        <v>0.5</v>
      </c>
      <c r="J439" s="40" t="s">
        <v>166</v>
      </c>
      <c r="K439" s="37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</row>
    <row r="440" ht="22.5" customHeight="1">
      <c r="A440" s="38" t="s">
        <v>922</v>
      </c>
      <c r="B440" s="21">
        <v>46158.0</v>
      </c>
      <c r="C440" s="30" t="s">
        <v>54</v>
      </c>
      <c r="D440" s="19" t="s">
        <v>385</v>
      </c>
      <c r="E440" s="19" t="s">
        <v>263</v>
      </c>
      <c r="F440" s="30" t="s">
        <v>11</v>
      </c>
      <c r="G440" s="30" t="s">
        <v>42</v>
      </c>
      <c r="H440" s="32">
        <v>-17.98</v>
      </c>
      <c r="I440" s="40">
        <v>1.07</v>
      </c>
      <c r="J440" s="40" t="s">
        <v>188</v>
      </c>
      <c r="K440" s="37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</row>
    <row r="441" ht="22.5" customHeight="1">
      <c r="A441" s="38" t="s">
        <v>923</v>
      </c>
      <c r="B441" s="21">
        <v>46158.0</v>
      </c>
      <c r="C441" s="30" t="s">
        <v>54</v>
      </c>
      <c r="D441" s="19" t="s">
        <v>385</v>
      </c>
      <c r="E441" s="19" t="s">
        <v>484</v>
      </c>
      <c r="F441" s="30" t="s">
        <v>11</v>
      </c>
      <c r="G441" s="30" t="s">
        <v>42</v>
      </c>
      <c r="H441" s="32">
        <v>-9.89</v>
      </c>
      <c r="I441" s="40">
        <v>0.2</v>
      </c>
      <c r="J441" s="40" t="s">
        <v>166</v>
      </c>
      <c r="K441" s="37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</row>
    <row r="442" ht="22.5" customHeight="1">
      <c r="A442" s="38" t="s">
        <v>924</v>
      </c>
      <c r="B442" s="21">
        <v>46158.0</v>
      </c>
      <c r="C442" s="30" t="s">
        <v>54</v>
      </c>
      <c r="D442" s="19" t="s">
        <v>385</v>
      </c>
      <c r="E442" s="19" t="s">
        <v>622</v>
      </c>
      <c r="F442" s="30" t="s">
        <v>11</v>
      </c>
      <c r="G442" s="30" t="s">
        <v>42</v>
      </c>
      <c r="H442" s="32">
        <v>-7.88</v>
      </c>
      <c r="I442" s="40">
        <v>2.0</v>
      </c>
      <c r="J442" s="40" t="s">
        <v>487</v>
      </c>
      <c r="K442" s="37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</row>
    <row r="443" ht="22.5" customHeight="1">
      <c r="A443" s="38" t="s">
        <v>925</v>
      </c>
      <c r="B443" s="21">
        <v>46158.0</v>
      </c>
      <c r="C443" s="30" t="s">
        <v>54</v>
      </c>
      <c r="D443" s="19" t="s">
        <v>385</v>
      </c>
      <c r="E443" s="19" t="s">
        <v>476</v>
      </c>
      <c r="F443" s="30" t="s">
        <v>11</v>
      </c>
      <c r="G443" s="30" t="s">
        <v>42</v>
      </c>
      <c r="H443" s="32">
        <v>-2.53</v>
      </c>
      <c r="I443" s="40">
        <v>1.0</v>
      </c>
      <c r="J443" s="40" t="s">
        <v>399</v>
      </c>
      <c r="K443" s="37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</row>
    <row r="444" ht="22.5" customHeight="1">
      <c r="A444" s="38" t="s">
        <v>926</v>
      </c>
      <c r="B444" s="21">
        <v>46158.0</v>
      </c>
      <c r="C444" s="30" t="s">
        <v>54</v>
      </c>
      <c r="D444" s="19" t="s">
        <v>385</v>
      </c>
      <c r="E444" s="19" t="s">
        <v>237</v>
      </c>
      <c r="F444" s="30" t="s">
        <v>11</v>
      </c>
      <c r="G444" s="30" t="s">
        <v>42</v>
      </c>
      <c r="H444" s="32">
        <v>-6.38</v>
      </c>
      <c r="I444" s="40">
        <v>0.843</v>
      </c>
      <c r="J444" s="40" t="s">
        <v>188</v>
      </c>
      <c r="K444" s="37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</row>
    <row r="445" ht="22.5" customHeight="1">
      <c r="A445" s="38" t="s">
        <v>927</v>
      </c>
      <c r="B445" s="21">
        <v>46158.0</v>
      </c>
      <c r="C445" s="30" t="s">
        <v>54</v>
      </c>
      <c r="D445" s="19" t="s">
        <v>385</v>
      </c>
      <c r="E445" s="19" t="s">
        <v>394</v>
      </c>
      <c r="F445" s="30" t="s">
        <v>11</v>
      </c>
      <c r="G445" s="30" t="s">
        <v>42</v>
      </c>
      <c r="H445" s="32">
        <v>-5.67</v>
      </c>
      <c r="I445" s="40">
        <v>1.676</v>
      </c>
      <c r="J445" s="40" t="s">
        <v>188</v>
      </c>
      <c r="K445" s="37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</row>
    <row r="446" ht="22.5" customHeight="1">
      <c r="A446" s="38" t="s">
        <v>928</v>
      </c>
      <c r="B446" s="21">
        <v>46158.0</v>
      </c>
      <c r="C446" s="30" t="s">
        <v>54</v>
      </c>
      <c r="D446" s="19" t="s">
        <v>385</v>
      </c>
      <c r="E446" s="19" t="s">
        <v>414</v>
      </c>
      <c r="F446" s="30" t="s">
        <v>11</v>
      </c>
      <c r="G446" s="30" t="s">
        <v>42</v>
      </c>
      <c r="H446" s="32">
        <v>-5.47</v>
      </c>
      <c r="I446" s="40">
        <v>2.27</v>
      </c>
      <c r="J446" s="40" t="s">
        <v>188</v>
      </c>
      <c r="K446" s="37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</row>
    <row r="447" ht="22.5" customHeight="1">
      <c r="A447" s="38" t="s">
        <v>929</v>
      </c>
      <c r="B447" s="21">
        <v>46158.0</v>
      </c>
      <c r="C447" s="30" t="s">
        <v>54</v>
      </c>
      <c r="D447" s="19" t="s">
        <v>385</v>
      </c>
      <c r="E447" s="19" t="s">
        <v>309</v>
      </c>
      <c r="F447" s="30" t="s">
        <v>11</v>
      </c>
      <c r="G447" s="30" t="s">
        <v>42</v>
      </c>
      <c r="H447" s="32">
        <v>-5.7</v>
      </c>
      <c r="I447" s="40">
        <v>2.0</v>
      </c>
      <c r="J447" s="40" t="s">
        <v>310</v>
      </c>
      <c r="K447" s="37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</row>
    <row r="448" ht="22.5" customHeight="1">
      <c r="A448" s="38" t="s">
        <v>930</v>
      </c>
      <c r="B448" s="21">
        <v>46158.0</v>
      </c>
      <c r="C448" s="30" t="s">
        <v>54</v>
      </c>
      <c r="D448" s="19" t="s">
        <v>607</v>
      </c>
      <c r="E448" s="19" t="s">
        <v>608</v>
      </c>
      <c r="F448" s="30" t="s">
        <v>11</v>
      </c>
      <c r="G448" s="30" t="s">
        <v>42</v>
      </c>
      <c r="H448" s="32">
        <v>-19.13</v>
      </c>
      <c r="I448" s="40">
        <v>0.75</v>
      </c>
      <c r="J448" s="40" t="s">
        <v>166</v>
      </c>
      <c r="K448" s="37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</row>
    <row r="449" ht="22.5" customHeight="1">
      <c r="A449" s="38" t="s">
        <v>931</v>
      </c>
      <c r="B449" s="21">
        <v>46158.0</v>
      </c>
      <c r="C449" s="30" t="s">
        <v>54</v>
      </c>
      <c r="D449" s="19" t="s">
        <v>669</v>
      </c>
      <c r="E449" s="19" t="s">
        <v>932</v>
      </c>
      <c r="F449" s="30" t="s">
        <v>35</v>
      </c>
      <c r="G449" s="30" t="s">
        <v>303</v>
      </c>
      <c r="H449" s="32">
        <v>-18.6</v>
      </c>
      <c r="I449" s="35"/>
      <c r="J449" s="35"/>
      <c r="K449" s="37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</row>
    <row r="450" ht="22.5" customHeight="1">
      <c r="A450" s="38" t="s">
        <v>933</v>
      </c>
      <c r="B450" s="21">
        <v>46158.0</v>
      </c>
      <c r="C450" s="30" t="s">
        <v>54</v>
      </c>
      <c r="D450" s="19" t="s">
        <v>378</v>
      </c>
      <c r="E450" s="19" t="s">
        <v>934</v>
      </c>
      <c r="F450" s="30" t="s">
        <v>35</v>
      </c>
      <c r="G450" s="30" t="s">
        <v>303</v>
      </c>
      <c r="H450" s="32">
        <v>-55.1</v>
      </c>
      <c r="I450" s="35"/>
      <c r="J450" s="35"/>
      <c r="K450" s="37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</row>
    <row r="451" ht="22.5" customHeight="1">
      <c r="A451" s="38" t="s">
        <v>935</v>
      </c>
      <c r="B451" s="21">
        <v>46158.0</v>
      </c>
      <c r="C451" s="30" t="s">
        <v>54</v>
      </c>
      <c r="D451" s="19" t="s">
        <v>662</v>
      </c>
      <c r="E451" s="19" t="s">
        <v>936</v>
      </c>
      <c r="F451" s="30" t="s">
        <v>35</v>
      </c>
      <c r="G451" s="30" t="s">
        <v>303</v>
      </c>
      <c r="H451" s="32">
        <v>-64.0</v>
      </c>
      <c r="I451" s="35"/>
      <c r="J451" s="35"/>
      <c r="K451" s="37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</row>
    <row r="452" ht="22.5" customHeight="1">
      <c r="A452" s="38" t="s">
        <v>937</v>
      </c>
      <c r="B452" s="21">
        <v>46162.0</v>
      </c>
      <c r="C452" s="30" t="s">
        <v>54</v>
      </c>
      <c r="D452" s="19" t="s">
        <v>648</v>
      </c>
      <c r="E452" s="19" t="s">
        <v>938</v>
      </c>
      <c r="F452" s="30" t="s">
        <v>44</v>
      </c>
      <c r="G452" s="30" t="s">
        <v>277</v>
      </c>
      <c r="H452" s="32">
        <v>-45.0</v>
      </c>
      <c r="I452" s="35"/>
      <c r="J452" s="35"/>
      <c r="K452" s="37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</row>
    <row r="453" ht="22.5" customHeight="1">
      <c r="A453" s="38" t="s">
        <v>939</v>
      </c>
      <c r="B453" s="21">
        <v>46164.0</v>
      </c>
      <c r="C453" s="30" t="s">
        <v>34</v>
      </c>
      <c r="D453" s="41" t="s">
        <v>69</v>
      </c>
      <c r="E453" s="19" t="s">
        <v>70</v>
      </c>
      <c r="F453" s="30" t="s">
        <v>6</v>
      </c>
      <c r="G453" s="30" t="s">
        <v>70</v>
      </c>
      <c r="H453" s="32">
        <v>2010.98</v>
      </c>
      <c r="I453" s="35"/>
      <c r="J453" s="35"/>
      <c r="K453" s="37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</row>
    <row r="454" ht="22.5" customHeight="1">
      <c r="A454" s="38" t="s">
        <v>940</v>
      </c>
      <c r="B454" s="21">
        <v>46164.0</v>
      </c>
      <c r="C454" s="30" t="s">
        <v>34</v>
      </c>
      <c r="D454" s="49" t="s">
        <v>78</v>
      </c>
      <c r="E454" s="42" t="s">
        <v>70</v>
      </c>
      <c r="F454" s="30" t="s">
        <v>6</v>
      </c>
      <c r="G454" s="30" t="s">
        <v>70</v>
      </c>
      <c r="H454" s="32">
        <v>1560.23</v>
      </c>
      <c r="I454" s="35"/>
      <c r="J454" s="35"/>
      <c r="K454" s="37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</row>
    <row r="455" ht="22.5" customHeight="1">
      <c r="A455" s="38" t="s">
        <v>941</v>
      </c>
      <c r="B455" s="21">
        <v>46164.0</v>
      </c>
      <c r="C455" s="30" t="s">
        <v>54</v>
      </c>
      <c r="D455" s="19" t="s">
        <v>164</v>
      </c>
      <c r="E455" s="19" t="s">
        <v>206</v>
      </c>
      <c r="F455" s="30" t="s">
        <v>11</v>
      </c>
      <c r="G455" s="30" t="s">
        <v>42</v>
      </c>
      <c r="H455" s="32">
        <v>-6.29</v>
      </c>
      <c r="I455" s="40">
        <v>2.0</v>
      </c>
      <c r="J455" s="40" t="s">
        <v>170</v>
      </c>
      <c r="K455" s="37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</row>
    <row r="456" ht="22.5" customHeight="1">
      <c r="A456" s="38" t="s">
        <v>942</v>
      </c>
      <c r="B456" s="21">
        <v>46164.0</v>
      </c>
      <c r="C456" s="30" t="s">
        <v>54</v>
      </c>
      <c r="D456" s="19" t="s">
        <v>164</v>
      </c>
      <c r="E456" s="19" t="s">
        <v>790</v>
      </c>
      <c r="F456" s="30" t="s">
        <v>11</v>
      </c>
      <c r="G456" s="30" t="s">
        <v>42</v>
      </c>
      <c r="H456" s="32">
        <v>-24.69</v>
      </c>
      <c r="I456" s="40">
        <v>1.694</v>
      </c>
      <c r="J456" s="40" t="s">
        <v>188</v>
      </c>
      <c r="K456" s="37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</row>
    <row r="457" ht="22.5" customHeight="1">
      <c r="A457" s="38" t="s">
        <v>943</v>
      </c>
      <c r="B457" s="21">
        <v>46164.0</v>
      </c>
      <c r="C457" s="30" t="s">
        <v>54</v>
      </c>
      <c r="D457" s="19" t="s">
        <v>164</v>
      </c>
      <c r="E457" s="19" t="s">
        <v>296</v>
      </c>
      <c r="F457" s="30" t="s">
        <v>11</v>
      </c>
      <c r="G457" s="30" t="s">
        <v>42</v>
      </c>
      <c r="H457" s="32">
        <v>-16.76</v>
      </c>
      <c r="I457" s="40">
        <v>1.743</v>
      </c>
      <c r="J457" s="40" t="s">
        <v>188</v>
      </c>
      <c r="K457" s="37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</row>
    <row r="458" ht="22.5" customHeight="1">
      <c r="A458" s="38" t="s">
        <v>944</v>
      </c>
      <c r="B458" s="21">
        <v>46164.0</v>
      </c>
      <c r="C458" s="30" t="s">
        <v>54</v>
      </c>
      <c r="D458" s="19" t="s">
        <v>164</v>
      </c>
      <c r="E458" s="19" t="s">
        <v>169</v>
      </c>
      <c r="F458" s="30" t="s">
        <v>11</v>
      </c>
      <c r="G458" s="30" t="s">
        <v>42</v>
      </c>
      <c r="H458" s="32">
        <v>-6.0</v>
      </c>
      <c r="I458" s="40">
        <v>2.0</v>
      </c>
      <c r="J458" s="40" t="s">
        <v>170</v>
      </c>
      <c r="K458" s="37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</row>
    <row r="459" ht="22.5" customHeight="1">
      <c r="A459" s="38" t="s">
        <v>945</v>
      </c>
      <c r="B459" s="21">
        <v>46164.0</v>
      </c>
      <c r="C459" s="30" t="s">
        <v>54</v>
      </c>
      <c r="D459" s="19" t="s">
        <v>164</v>
      </c>
      <c r="E459" s="19" t="s">
        <v>274</v>
      </c>
      <c r="F459" s="30" t="s">
        <v>11</v>
      </c>
      <c r="G459" s="30" t="s">
        <v>42</v>
      </c>
      <c r="H459" s="32">
        <v>-5.88</v>
      </c>
      <c r="I459" s="40">
        <v>0.75</v>
      </c>
      <c r="J459" s="40" t="s">
        <v>166</v>
      </c>
      <c r="K459" s="37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</row>
    <row r="460" ht="22.5" customHeight="1">
      <c r="A460" s="38" t="s">
        <v>946</v>
      </c>
      <c r="B460" s="21">
        <v>46164.0</v>
      </c>
      <c r="C460" s="30" t="s">
        <v>54</v>
      </c>
      <c r="D460" s="19" t="s">
        <v>164</v>
      </c>
      <c r="E460" s="19" t="s">
        <v>729</v>
      </c>
      <c r="F460" s="30" t="s">
        <v>11</v>
      </c>
      <c r="G460" s="30" t="s">
        <v>42</v>
      </c>
      <c r="H460" s="32">
        <v>-46.35</v>
      </c>
      <c r="I460" s="40">
        <v>0.83</v>
      </c>
      <c r="J460" s="40" t="s">
        <v>188</v>
      </c>
      <c r="K460" s="37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</row>
    <row r="461" ht="22.5" customHeight="1">
      <c r="A461" s="38" t="s">
        <v>947</v>
      </c>
      <c r="B461" s="21">
        <v>46164.0</v>
      </c>
      <c r="C461" s="30" t="s">
        <v>54</v>
      </c>
      <c r="D461" s="19" t="s">
        <v>164</v>
      </c>
      <c r="E461" s="19" t="s">
        <v>492</v>
      </c>
      <c r="F461" s="30" t="s">
        <v>11</v>
      </c>
      <c r="G461" s="30" t="s">
        <v>42</v>
      </c>
      <c r="H461" s="32">
        <v>-7.38</v>
      </c>
      <c r="I461" s="40">
        <v>1.0</v>
      </c>
      <c r="J461" s="40" t="s">
        <v>188</v>
      </c>
      <c r="K461" s="37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</row>
    <row r="462" ht="22.5" customHeight="1">
      <c r="A462" s="38" t="s">
        <v>948</v>
      </c>
      <c r="B462" s="21">
        <v>46164.0</v>
      </c>
      <c r="C462" s="30" t="s">
        <v>54</v>
      </c>
      <c r="D462" s="19" t="s">
        <v>164</v>
      </c>
      <c r="E462" s="19" t="s">
        <v>586</v>
      </c>
      <c r="F462" s="30" t="s">
        <v>11</v>
      </c>
      <c r="G462" s="30" t="s">
        <v>42</v>
      </c>
      <c r="H462" s="32">
        <v>-5.44</v>
      </c>
      <c r="I462" s="40">
        <v>1.023</v>
      </c>
      <c r="J462" s="40" t="s">
        <v>188</v>
      </c>
      <c r="K462" s="37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</row>
    <row r="463" ht="22.5" customHeight="1">
      <c r="A463" s="38" t="s">
        <v>949</v>
      </c>
      <c r="B463" s="21">
        <v>46164.0</v>
      </c>
      <c r="C463" s="30" t="s">
        <v>34</v>
      </c>
      <c r="D463" s="19" t="s">
        <v>321</v>
      </c>
      <c r="E463" s="19" t="s">
        <v>321</v>
      </c>
      <c r="F463" s="30" t="s">
        <v>103</v>
      </c>
      <c r="G463" s="30" t="s">
        <v>279</v>
      </c>
      <c r="H463" s="32">
        <v>-395.22</v>
      </c>
      <c r="I463" s="40"/>
      <c r="J463" s="40"/>
      <c r="K463" s="37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</row>
    <row r="464" ht="22.5" customHeight="1">
      <c r="A464" s="38" t="s">
        <v>950</v>
      </c>
      <c r="B464" s="21">
        <v>46164.0</v>
      </c>
      <c r="C464" s="30" t="s">
        <v>54</v>
      </c>
      <c r="D464" s="19" t="s">
        <v>321</v>
      </c>
      <c r="E464" s="19" t="s">
        <v>321</v>
      </c>
      <c r="F464" s="30" t="s">
        <v>103</v>
      </c>
      <c r="G464" s="30" t="s">
        <v>105</v>
      </c>
      <c r="H464" s="32">
        <v>395.22</v>
      </c>
      <c r="I464" s="40"/>
      <c r="J464" s="40"/>
      <c r="K464" s="37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</row>
    <row r="465" ht="22.5" customHeight="1">
      <c r="A465" s="38" t="s">
        <v>951</v>
      </c>
      <c r="B465" s="21">
        <v>46165.0</v>
      </c>
      <c r="C465" s="30" t="s">
        <v>134</v>
      </c>
      <c r="D465" s="19" t="s">
        <v>419</v>
      </c>
      <c r="E465" s="19" t="s">
        <v>15</v>
      </c>
      <c r="F465" s="30" t="s">
        <v>11</v>
      </c>
      <c r="G465" s="30" t="s">
        <v>8</v>
      </c>
      <c r="H465" s="32">
        <v>-145.6</v>
      </c>
      <c r="I465" s="35"/>
      <c r="J465" s="35"/>
      <c r="K465" s="37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</row>
    <row r="466" ht="22.5" customHeight="1">
      <c r="A466" s="38" t="s">
        <v>952</v>
      </c>
      <c r="B466" s="21">
        <v>46165.0</v>
      </c>
      <c r="C466" s="30" t="s">
        <v>54</v>
      </c>
      <c r="D466" s="19" t="s">
        <v>953</v>
      </c>
      <c r="E466" s="19" t="s">
        <v>954</v>
      </c>
      <c r="F466" s="30" t="s">
        <v>35</v>
      </c>
      <c r="G466" s="30" t="s">
        <v>251</v>
      </c>
      <c r="H466" s="32">
        <v>-49.15</v>
      </c>
      <c r="I466" s="35"/>
      <c r="J466" s="35"/>
      <c r="K466" s="37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</row>
    <row r="467" ht="22.5" customHeight="1">
      <c r="A467" s="38" t="s">
        <v>955</v>
      </c>
      <c r="B467" s="21">
        <v>46171.0</v>
      </c>
      <c r="C467" s="30" t="s">
        <v>54</v>
      </c>
      <c r="D467" s="19" t="s">
        <v>429</v>
      </c>
      <c r="E467" s="19" t="s">
        <v>335</v>
      </c>
      <c r="F467" s="30" t="s">
        <v>35</v>
      </c>
      <c r="G467" s="30" t="s">
        <v>294</v>
      </c>
      <c r="H467" s="32">
        <v>-4.47</v>
      </c>
      <c r="I467" s="35"/>
      <c r="J467" s="35"/>
      <c r="K467" s="37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</row>
    <row r="468" ht="22.5" customHeight="1">
      <c r="A468" s="38" t="s">
        <v>956</v>
      </c>
      <c r="B468" s="21">
        <v>46172.0</v>
      </c>
      <c r="C468" s="30" t="s">
        <v>54</v>
      </c>
      <c r="D468" s="19" t="s">
        <v>385</v>
      </c>
      <c r="E468" s="19" t="s">
        <v>543</v>
      </c>
      <c r="F468" s="30" t="s">
        <v>11</v>
      </c>
      <c r="G468" s="30" t="s">
        <v>42</v>
      </c>
      <c r="H468" s="32">
        <v>-7.62</v>
      </c>
      <c r="I468" s="40">
        <v>0.68</v>
      </c>
      <c r="J468" s="40" t="s">
        <v>166</v>
      </c>
      <c r="K468" s="37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</row>
    <row r="469" ht="22.5" customHeight="1">
      <c r="A469" s="38" t="s">
        <v>957</v>
      </c>
      <c r="B469" s="21">
        <v>46172.0</v>
      </c>
      <c r="C469" s="30" t="s">
        <v>54</v>
      </c>
      <c r="D469" s="19" t="s">
        <v>385</v>
      </c>
      <c r="E469" s="19" t="s">
        <v>337</v>
      </c>
      <c r="F469" s="30" t="s">
        <v>11</v>
      </c>
      <c r="G469" s="30" t="s">
        <v>42</v>
      </c>
      <c r="H469" s="32">
        <v>-3.29</v>
      </c>
      <c r="I469" s="40">
        <v>1.36</v>
      </c>
      <c r="J469" s="40" t="s">
        <v>188</v>
      </c>
      <c r="K469" s="37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</row>
    <row r="470" ht="22.5" customHeight="1">
      <c r="A470" s="38" t="s">
        <v>958</v>
      </c>
      <c r="B470" s="21">
        <v>46172.0</v>
      </c>
      <c r="C470" s="30" t="s">
        <v>54</v>
      </c>
      <c r="D470" s="19" t="s">
        <v>385</v>
      </c>
      <c r="E470" s="19" t="s">
        <v>309</v>
      </c>
      <c r="F470" s="30" t="s">
        <v>11</v>
      </c>
      <c r="G470" s="30" t="s">
        <v>42</v>
      </c>
      <c r="H470" s="32">
        <v>-4.58</v>
      </c>
      <c r="I470" s="40">
        <v>2.0</v>
      </c>
      <c r="J470" s="40" t="s">
        <v>310</v>
      </c>
      <c r="K470" s="37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</row>
    <row r="471" ht="22.5" customHeight="1">
      <c r="A471" s="38" t="s">
        <v>959</v>
      </c>
      <c r="B471" s="21">
        <v>46172.0</v>
      </c>
      <c r="C471" s="30" t="s">
        <v>54</v>
      </c>
      <c r="D471" s="19" t="s">
        <v>385</v>
      </c>
      <c r="E471" s="19" t="s">
        <v>476</v>
      </c>
      <c r="F471" s="30" t="s">
        <v>11</v>
      </c>
      <c r="G471" s="30" t="s">
        <v>42</v>
      </c>
      <c r="H471" s="32">
        <v>-2.53</v>
      </c>
      <c r="I471" s="40">
        <v>1.0</v>
      </c>
      <c r="J471" s="40" t="s">
        <v>399</v>
      </c>
      <c r="K471" s="37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</row>
    <row r="472" ht="22.5" customHeight="1">
      <c r="A472" s="38" t="s">
        <v>960</v>
      </c>
      <c r="B472" s="21">
        <v>46172.0</v>
      </c>
      <c r="C472" s="30" t="s">
        <v>54</v>
      </c>
      <c r="D472" s="19" t="s">
        <v>385</v>
      </c>
      <c r="E472" s="19" t="s">
        <v>269</v>
      </c>
      <c r="F472" s="30" t="s">
        <v>11</v>
      </c>
      <c r="G472" s="30" t="s">
        <v>42</v>
      </c>
      <c r="H472" s="32">
        <v>-12.99</v>
      </c>
      <c r="I472" s="40">
        <v>1.0</v>
      </c>
      <c r="J472" s="40" t="s">
        <v>201</v>
      </c>
      <c r="K472" s="37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</row>
    <row r="473" ht="22.5" customHeight="1">
      <c r="A473" s="38" t="s">
        <v>961</v>
      </c>
      <c r="B473" s="21">
        <v>46172.0</v>
      </c>
      <c r="C473" s="30" t="s">
        <v>54</v>
      </c>
      <c r="D473" s="19" t="s">
        <v>385</v>
      </c>
      <c r="E473" s="19" t="s">
        <v>463</v>
      </c>
      <c r="F473" s="30" t="s">
        <v>11</v>
      </c>
      <c r="G473" s="30" t="s">
        <v>42</v>
      </c>
      <c r="H473" s="32">
        <v>-25.22</v>
      </c>
      <c r="I473" s="40">
        <v>0.907</v>
      </c>
      <c r="J473" s="40" t="s">
        <v>188</v>
      </c>
      <c r="K473" s="37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</row>
    <row r="474" ht="22.5" customHeight="1">
      <c r="A474" s="38" t="s">
        <v>962</v>
      </c>
      <c r="B474" s="21">
        <v>46172.0</v>
      </c>
      <c r="C474" s="30" t="s">
        <v>54</v>
      </c>
      <c r="D474" s="19" t="s">
        <v>385</v>
      </c>
      <c r="E474" s="19" t="s">
        <v>301</v>
      </c>
      <c r="F474" s="30" t="s">
        <v>11</v>
      </c>
      <c r="G474" s="30" t="s">
        <v>42</v>
      </c>
      <c r="H474" s="32">
        <v>-4.7</v>
      </c>
      <c r="I474" s="40">
        <v>1.0</v>
      </c>
      <c r="J474" s="40" t="s">
        <v>304</v>
      </c>
      <c r="K474" s="37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</row>
    <row r="475" ht="22.5" customHeight="1">
      <c r="A475" s="38" t="s">
        <v>963</v>
      </c>
      <c r="B475" s="21">
        <v>46172.0</v>
      </c>
      <c r="C475" s="30" t="s">
        <v>54</v>
      </c>
      <c r="D475" s="19" t="s">
        <v>385</v>
      </c>
      <c r="E475" s="19" t="s">
        <v>675</v>
      </c>
      <c r="F475" s="30" t="s">
        <v>11</v>
      </c>
      <c r="G475" s="30" t="s">
        <v>42</v>
      </c>
      <c r="H475" s="32">
        <v>-15.79</v>
      </c>
      <c r="I475" s="40">
        <v>0.681</v>
      </c>
      <c r="J475" s="40" t="s">
        <v>188</v>
      </c>
      <c r="K475" s="37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</row>
    <row r="476" ht="22.5" customHeight="1">
      <c r="A476" s="38" t="s">
        <v>964</v>
      </c>
      <c r="B476" s="21">
        <v>46173.0</v>
      </c>
      <c r="C476" s="128" t="s">
        <v>145</v>
      </c>
      <c r="D476" s="19" t="s">
        <v>331</v>
      </c>
      <c r="E476" s="129" t="s">
        <v>285</v>
      </c>
      <c r="F476" s="128" t="s">
        <v>6</v>
      </c>
      <c r="G476" s="128" t="s">
        <v>285</v>
      </c>
      <c r="H476" s="32">
        <v>3.75</v>
      </c>
      <c r="I476" s="40"/>
      <c r="J476" s="40"/>
      <c r="K476" s="37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</row>
    <row r="477" ht="22.5" customHeight="1">
      <c r="A477" s="38" t="s">
        <v>965</v>
      </c>
      <c r="B477" s="21">
        <v>46173.0</v>
      </c>
      <c r="C477" s="30" t="s">
        <v>34</v>
      </c>
      <c r="D477" s="19" t="s">
        <v>321</v>
      </c>
      <c r="E477" s="19" t="s">
        <v>321</v>
      </c>
      <c r="F477" s="30" t="s">
        <v>103</v>
      </c>
      <c r="G477" s="30" t="s">
        <v>279</v>
      </c>
      <c r="H477" s="144">
        <v>-620.8</v>
      </c>
      <c r="I477" s="35"/>
      <c r="J477" s="35"/>
      <c r="K477" s="37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</row>
    <row r="478" ht="22.5" customHeight="1">
      <c r="A478" s="38" t="s">
        <v>966</v>
      </c>
      <c r="B478" s="21">
        <v>46173.0</v>
      </c>
      <c r="C478" s="30" t="s">
        <v>134</v>
      </c>
      <c r="D478" s="19" t="s">
        <v>321</v>
      </c>
      <c r="E478" s="19" t="s">
        <v>321</v>
      </c>
      <c r="F478" s="30" t="s">
        <v>103</v>
      </c>
      <c r="G478" s="30" t="s">
        <v>105</v>
      </c>
      <c r="H478" s="32">
        <v>620.8</v>
      </c>
      <c r="I478" s="35"/>
      <c r="J478" s="35"/>
      <c r="K478" s="37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</row>
    <row r="479" ht="22.5" customHeight="1">
      <c r="A479" s="38" t="s">
        <v>967</v>
      </c>
      <c r="B479" s="21">
        <v>46173.0</v>
      </c>
      <c r="C479" s="96" t="s">
        <v>52</v>
      </c>
      <c r="D479" s="19" t="s">
        <v>331</v>
      </c>
      <c r="E479" s="19" t="s">
        <v>469</v>
      </c>
      <c r="F479" s="30" t="s">
        <v>6</v>
      </c>
      <c r="G479" s="30" t="s">
        <v>280</v>
      </c>
      <c r="H479" s="32">
        <v>61.92</v>
      </c>
      <c r="I479" s="35"/>
      <c r="J479" s="35"/>
      <c r="K479" s="37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</row>
    <row r="480" ht="22.5" customHeight="1">
      <c r="A480" s="19" t="s">
        <v>968</v>
      </c>
      <c r="B480" s="21">
        <v>46174.0</v>
      </c>
      <c r="C480" s="30" t="s">
        <v>34</v>
      </c>
      <c r="D480" s="19" t="s">
        <v>37</v>
      </c>
      <c r="E480" s="19" t="s">
        <v>9</v>
      </c>
      <c r="F480" s="30" t="s">
        <v>11</v>
      </c>
      <c r="G480" s="30" t="s">
        <v>8</v>
      </c>
      <c r="H480" s="32">
        <v>-2300.0</v>
      </c>
      <c r="I480" s="35"/>
      <c r="J480" s="35"/>
      <c r="K480" s="37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</row>
    <row r="481" ht="22.5" customHeight="1">
      <c r="A481" s="19" t="s">
        <v>969</v>
      </c>
      <c r="B481" s="21">
        <v>46174.0</v>
      </c>
      <c r="C481" s="30" t="s">
        <v>134</v>
      </c>
      <c r="D481" s="19" t="s">
        <v>56</v>
      </c>
      <c r="E481" s="19" t="s">
        <v>33</v>
      </c>
      <c r="F481" s="30" t="s">
        <v>11</v>
      </c>
      <c r="G481" s="30" t="s">
        <v>8</v>
      </c>
      <c r="H481" s="32">
        <v>-24.51</v>
      </c>
      <c r="I481" s="35"/>
      <c r="J481" s="35"/>
      <c r="K481" s="37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</row>
    <row r="482" ht="22.5" customHeight="1">
      <c r="A482" s="19" t="s">
        <v>970</v>
      </c>
      <c r="B482" s="21">
        <v>46174.0</v>
      </c>
      <c r="C482" s="30" t="s">
        <v>54</v>
      </c>
      <c r="D482" s="19" t="s">
        <v>147</v>
      </c>
      <c r="E482" s="19" t="s">
        <v>148</v>
      </c>
      <c r="F482" s="30" t="s">
        <v>11</v>
      </c>
      <c r="G482" s="30" t="s">
        <v>62</v>
      </c>
      <c r="H482" s="32">
        <v>-160.0</v>
      </c>
      <c r="I482" s="35"/>
      <c r="J482" s="35"/>
      <c r="K482" s="37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</row>
    <row r="483" ht="22.5" customHeight="1">
      <c r="A483" s="19" t="s">
        <v>971</v>
      </c>
      <c r="B483" s="21">
        <v>46174.0</v>
      </c>
      <c r="C483" s="30" t="s">
        <v>134</v>
      </c>
      <c r="D483" s="19" t="s">
        <v>147</v>
      </c>
      <c r="E483" s="19" t="s">
        <v>148</v>
      </c>
      <c r="F483" s="30" t="s">
        <v>11</v>
      </c>
      <c r="G483" s="30" t="s">
        <v>62</v>
      </c>
      <c r="H483" s="32">
        <v>-80.0</v>
      </c>
      <c r="I483" s="35"/>
      <c r="J483" s="35"/>
      <c r="K483" s="37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</row>
    <row r="484" ht="22.5" customHeight="1">
      <c r="A484" s="19" t="s">
        <v>972</v>
      </c>
      <c r="B484" s="21">
        <v>46175.0</v>
      </c>
      <c r="C484" s="30" t="s">
        <v>54</v>
      </c>
      <c r="D484" s="19" t="s">
        <v>164</v>
      </c>
      <c r="E484" s="19" t="s">
        <v>466</v>
      </c>
      <c r="F484" s="30" t="s">
        <v>11</v>
      </c>
      <c r="G484" s="30" t="s">
        <v>42</v>
      </c>
      <c r="H484" s="32">
        <v>-7.82</v>
      </c>
      <c r="I484" s="40">
        <v>1.6</v>
      </c>
      <c r="J484" s="40" t="s">
        <v>188</v>
      </c>
      <c r="K484" s="37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</row>
    <row r="485" ht="22.5" customHeight="1">
      <c r="A485" s="19" t="s">
        <v>973</v>
      </c>
      <c r="B485" s="21">
        <v>46175.0</v>
      </c>
      <c r="C485" s="30" t="s">
        <v>54</v>
      </c>
      <c r="D485" s="19" t="s">
        <v>164</v>
      </c>
      <c r="E485" s="19" t="s">
        <v>389</v>
      </c>
      <c r="F485" s="30" t="s">
        <v>11</v>
      </c>
      <c r="G485" s="30" t="s">
        <v>42</v>
      </c>
      <c r="H485" s="32">
        <v>-1.74</v>
      </c>
      <c r="I485" s="40">
        <v>3.0</v>
      </c>
      <c r="J485" s="40" t="s">
        <v>310</v>
      </c>
      <c r="K485" s="37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</row>
    <row r="486" ht="22.5" customHeight="1">
      <c r="A486" s="19" t="s">
        <v>974</v>
      </c>
      <c r="B486" s="21">
        <v>46175.0</v>
      </c>
      <c r="C486" s="30" t="s">
        <v>54</v>
      </c>
      <c r="D486" s="19" t="s">
        <v>164</v>
      </c>
      <c r="E486" s="19" t="s">
        <v>206</v>
      </c>
      <c r="F486" s="30" t="s">
        <v>11</v>
      </c>
      <c r="G486" s="30" t="s">
        <v>42</v>
      </c>
      <c r="H486" s="32">
        <v>-5.65</v>
      </c>
      <c r="I486" s="40">
        <v>2.0</v>
      </c>
      <c r="J486" s="40" t="s">
        <v>170</v>
      </c>
      <c r="K486" s="37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</row>
    <row r="487" ht="22.5" customHeight="1">
      <c r="A487" s="19" t="s">
        <v>975</v>
      </c>
      <c r="B487" s="21">
        <v>46175.0</v>
      </c>
      <c r="C487" s="30" t="s">
        <v>54</v>
      </c>
      <c r="D487" s="19" t="s">
        <v>164</v>
      </c>
      <c r="E487" s="19" t="s">
        <v>185</v>
      </c>
      <c r="F487" s="30" t="s">
        <v>11</v>
      </c>
      <c r="G487" s="30" t="s">
        <v>42</v>
      </c>
      <c r="H487" s="32">
        <v>-10.5</v>
      </c>
      <c r="I487" s="40">
        <v>1.0</v>
      </c>
      <c r="J487" s="40" t="s">
        <v>188</v>
      </c>
      <c r="K487" s="37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</row>
    <row r="488" ht="22.5" customHeight="1">
      <c r="A488" s="19" t="s">
        <v>976</v>
      </c>
      <c r="B488" s="21">
        <v>46175.0</v>
      </c>
      <c r="C488" s="30" t="s">
        <v>54</v>
      </c>
      <c r="D488" s="19" t="s">
        <v>164</v>
      </c>
      <c r="E488" s="19" t="s">
        <v>237</v>
      </c>
      <c r="F488" s="30" t="s">
        <v>11</v>
      </c>
      <c r="G488" s="30" t="s">
        <v>42</v>
      </c>
      <c r="H488" s="32">
        <v>-5.98</v>
      </c>
      <c r="I488" s="40">
        <v>1.8</v>
      </c>
      <c r="J488" s="40" t="s">
        <v>188</v>
      </c>
      <c r="K488" s="37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</row>
    <row r="489" ht="22.5" customHeight="1">
      <c r="A489" s="19" t="s">
        <v>977</v>
      </c>
      <c r="B489" s="21">
        <v>46175.0</v>
      </c>
      <c r="C489" s="30" t="s">
        <v>54</v>
      </c>
      <c r="D489" s="19" t="s">
        <v>164</v>
      </c>
      <c r="E489" s="19" t="s">
        <v>169</v>
      </c>
      <c r="F489" s="30" t="s">
        <v>11</v>
      </c>
      <c r="G489" s="30" t="s">
        <v>42</v>
      </c>
      <c r="H489" s="32">
        <v>-6.66</v>
      </c>
      <c r="I489" s="40">
        <v>2.0</v>
      </c>
      <c r="J489" s="40" t="s">
        <v>170</v>
      </c>
      <c r="K489" s="37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</row>
    <row r="490" ht="22.5" customHeight="1">
      <c r="A490" s="19" t="s">
        <v>978</v>
      </c>
      <c r="B490" s="21">
        <v>46175.0</v>
      </c>
      <c r="C490" s="30" t="s">
        <v>54</v>
      </c>
      <c r="D490" s="19" t="s">
        <v>164</v>
      </c>
      <c r="E490" s="19" t="s">
        <v>200</v>
      </c>
      <c r="F490" s="30" t="s">
        <v>11</v>
      </c>
      <c r="G490" s="30" t="s">
        <v>42</v>
      </c>
      <c r="H490" s="32">
        <v>-1.35</v>
      </c>
      <c r="I490" s="40">
        <v>3.0</v>
      </c>
      <c r="J490" s="40" t="s">
        <v>201</v>
      </c>
      <c r="K490" s="37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</row>
    <row r="491" ht="22.5" customHeight="1">
      <c r="A491" s="19" t="s">
        <v>979</v>
      </c>
      <c r="B491" s="21">
        <v>46177.0</v>
      </c>
      <c r="C491" s="30" t="s">
        <v>134</v>
      </c>
      <c r="D491" s="19" t="s">
        <v>258</v>
      </c>
      <c r="E491" s="19" t="s">
        <v>24</v>
      </c>
      <c r="F491" s="30" t="s">
        <v>11</v>
      </c>
      <c r="G491" s="30" t="s">
        <v>8</v>
      </c>
      <c r="H491" s="32">
        <v>-67.2</v>
      </c>
      <c r="I491" s="35"/>
      <c r="J491" s="35"/>
      <c r="K491" s="37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</row>
    <row r="492" ht="22.5" customHeight="1">
      <c r="A492" s="19" t="s">
        <v>980</v>
      </c>
      <c r="B492" s="21">
        <v>46178.0</v>
      </c>
      <c r="C492" s="30" t="s">
        <v>34</v>
      </c>
      <c r="D492" s="19" t="s">
        <v>69</v>
      </c>
      <c r="E492" s="19" t="s">
        <v>70</v>
      </c>
      <c r="F492" s="30" t="s">
        <v>6</v>
      </c>
      <c r="G492" s="30" t="s">
        <v>70</v>
      </c>
      <c r="H492" s="32">
        <v>2010.98</v>
      </c>
      <c r="I492" s="35"/>
      <c r="J492" s="35"/>
      <c r="K492" s="37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</row>
    <row r="493" ht="22.5" customHeight="1">
      <c r="A493" s="19" t="s">
        <v>981</v>
      </c>
      <c r="B493" s="21">
        <v>46178.0</v>
      </c>
      <c r="C493" s="30" t="s">
        <v>34</v>
      </c>
      <c r="D493" s="19" t="s">
        <v>78</v>
      </c>
      <c r="E493" s="19" t="s">
        <v>70</v>
      </c>
      <c r="F493" s="30" t="s">
        <v>6</v>
      </c>
      <c r="G493" s="30" t="s">
        <v>70</v>
      </c>
      <c r="H493" s="32">
        <v>1560.23</v>
      </c>
      <c r="I493" s="35"/>
      <c r="J493" s="35"/>
      <c r="K493" s="37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</row>
    <row r="494" ht="22.5" customHeight="1">
      <c r="A494" s="19" t="s">
        <v>982</v>
      </c>
      <c r="B494" s="21">
        <v>46178.0</v>
      </c>
      <c r="C494" s="30" t="s">
        <v>34</v>
      </c>
      <c r="D494" s="19" t="s">
        <v>17</v>
      </c>
      <c r="E494" s="19" t="s">
        <v>17</v>
      </c>
      <c r="F494" s="30" t="s">
        <v>17</v>
      </c>
      <c r="G494" s="30" t="s">
        <v>297</v>
      </c>
      <c r="H494" s="32">
        <v>-1000.0</v>
      </c>
      <c r="I494" s="35"/>
      <c r="J494" s="35"/>
      <c r="K494" s="37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</row>
    <row r="495" ht="22.5" customHeight="1">
      <c r="A495" s="19" t="s">
        <v>983</v>
      </c>
      <c r="B495" s="21">
        <v>46178.0</v>
      </c>
      <c r="C495" s="30" t="s">
        <v>52</v>
      </c>
      <c r="D495" s="19" t="s">
        <v>17</v>
      </c>
      <c r="E495" s="19" t="s">
        <v>17</v>
      </c>
      <c r="F495" s="30" t="s">
        <v>103</v>
      </c>
      <c r="G495" s="30" t="s">
        <v>105</v>
      </c>
      <c r="H495" s="32">
        <v>1000.0</v>
      </c>
      <c r="I495" s="35"/>
      <c r="J495" s="35"/>
      <c r="K495" s="37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</row>
    <row r="496" ht="22.5" customHeight="1">
      <c r="A496" s="19" t="s">
        <v>984</v>
      </c>
      <c r="B496" s="21">
        <v>46178.0</v>
      </c>
      <c r="C496" s="30" t="s">
        <v>34</v>
      </c>
      <c r="D496" s="19" t="s">
        <v>22</v>
      </c>
      <c r="E496" s="19" t="s">
        <v>22</v>
      </c>
      <c r="F496" s="30" t="s">
        <v>22</v>
      </c>
      <c r="G496" s="30" t="s">
        <v>92</v>
      </c>
      <c r="H496" s="32">
        <v>-500.0</v>
      </c>
      <c r="I496" s="35"/>
      <c r="J496" s="35"/>
      <c r="K496" s="37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</row>
    <row r="497" ht="22.5" customHeight="1">
      <c r="A497" s="19" t="s">
        <v>985</v>
      </c>
      <c r="B497" s="21">
        <v>46178.0</v>
      </c>
      <c r="C497" s="30" t="s">
        <v>102</v>
      </c>
      <c r="D497" s="19" t="s">
        <v>22</v>
      </c>
      <c r="E497" s="19" t="s">
        <v>22</v>
      </c>
      <c r="F497" s="30" t="s">
        <v>103</v>
      </c>
      <c r="G497" s="30" t="s">
        <v>105</v>
      </c>
      <c r="H497" s="32">
        <v>500.0</v>
      </c>
      <c r="I497" s="35"/>
      <c r="J497" s="35"/>
      <c r="K497" s="37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</row>
    <row r="498" ht="22.5" customHeight="1">
      <c r="A498" s="19" t="s">
        <v>986</v>
      </c>
      <c r="B498" s="21">
        <v>46178.0</v>
      </c>
      <c r="C498" s="30" t="s">
        <v>34</v>
      </c>
      <c r="D498" s="19" t="s">
        <v>22</v>
      </c>
      <c r="E498" s="19" t="s">
        <v>22</v>
      </c>
      <c r="F498" s="30" t="s">
        <v>22</v>
      </c>
      <c r="G498" s="30" t="s">
        <v>92</v>
      </c>
      <c r="H498" s="32">
        <v>-500.0</v>
      </c>
      <c r="I498" s="35"/>
      <c r="J498" s="35"/>
      <c r="K498" s="37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</row>
    <row r="499" ht="22.5" customHeight="1">
      <c r="A499" s="19" t="s">
        <v>987</v>
      </c>
      <c r="B499" s="21">
        <v>46178.0</v>
      </c>
      <c r="C499" s="30" t="s">
        <v>121</v>
      </c>
      <c r="D499" s="19" t="s">
        <v>22</v>
      </c>
      <c r="E499" s="19" t="s">
        <v>22</v>
      </c>
      <c r="F499" s="30" t="s">
        <v>103</v>
      </c>
      <c r="G499" s="30" t="s">
        <v>105</v>
      </c>
      <c r="H499" s="32">
        <v>500.0</v>
      </c>
      <c r="I499" s="35"/>
      <c r="J499" s="35"/>
      <c r="K499" s="37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</row>
    <row r="500" ht="22.5" customHeight="1">
      <c r="A500" s="19" t="s">
        <v>988</v>
      </c>
      <c r="B500" s="21">
        <v>46178.0</v>
      </c>
      <c r="C500" s="30" t="s">
        <v>34</v>
      </c>
      <c r="D500" s="19" t="s">
        <v>321</v>
      </c>
      <c r="E500" s="19" t="s">
        <v>321</v>
      </c>
      <c r="F500" s="30" t="s">
        <v>103</v>
      </c>
      <c r="G500" s="30" t="s">
        <v>279</v>
      </c>
      <c r="H500" s="32">
        <v>-330.04</v>
      </c>
      <c r="I500" s="35"/>
      <c r="J500" s="35"/>
      <c r="K500" s="37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</row>
    <row r="501" ht="22.5" customHeight="1">
      <c r="A501" s="19" t="s">
        <v>989</v>
      </c>
      <c r="B501" s="21">
        <v>46178.0</v>
      </c>
      <c r="C501" s="30" t="s">
        <v>54</v>
      </c>
      <c r="D501" s="19" t="s">
        <v>321</v>
      </c>
      <c r="E501" s="19" t="s">
        <v>321</v>
      </c>
      <c r="F501" s="30" t="s">
        <v>103</v>
      </c>
      <c r="G501" s="30" t="s">
        <v>105</v>
      </c>
      <c r="H501" s="32">
        <v>330.04</v>
      </c>
      <c r="I501" s="35"/>
      <c r="J501" s="35"/>
      <c r="K501" s="37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</row>
    <row r="502" ht="22.5" customHeight="1">
      <c r="A502" s="19" t="s">
        <v>990</v>
      </c>
      <c r="B502" s="21">
        <v>46179.0</v>
      </c>
      <c r="C502" s="30" t="s">
        <v>54</v>
      </c>
      <c r="D502" s="19" t="s">
        <v>991</v>
      </c>
      <c r="E502" s="19" t="s">
        <v>626</v>
      </c>
      <c r="F502" s="30" t="s">
        <v>35</v>
      </c>
      <c r="G502" s="30" t="s">
        <v>251</v>
      </c>
      <c r="H502" s="32">
        <v>-52.6</v>
      </c>
      <c r="I502" s="35"/>
      <c r="J502" s="35"/>
      <c r="K502" s="37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</row>
    <row r="503" ht="22.5" customHeight="1">
      <c r="A503" s="19" t="s">
        <v>992</v>
      </c>
      <c r="B503" s="21">
        <v>46182.0</v>
      </c>
      <c r="C503" s="30" t="s">
        <v>54</v>
      </c>
      <c r="D503" s="19" t="s">
        <v>385</v>
      </c>
      <c r="E503" s="19" t="s">
        <v>309</v>
      </c>
      <c r="F503" s="30" t="s">
        <v>11</v>
      </c>
      <c r="G503" s="30" t="s">
        <v>42</v>
      </c>
      <c r="H503" s="32">
        <v>-5.1</v>
      </c>
      <c r="I503" s="40">
        <v>2.0</v>
      </c>
      <c r="J503" s="40" t="s">
        <v>310</v>
      </c>
      <c r="K503" s="37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</row>
    <row r="504" ht="22.5" customHeight="1">
      <c r="A504" s="19" t="s">
        <v>993</v>
      </c>
      <c r="B504" s="21">
        <v>46182.0</v>
      </c>
      <c r="C504" s="30" t="s">
        <v>54</v>
      </c>
      <c r="D504" s="19" t="s">
        <v>385</v>
      </c>
      <c r="E504" s="19" t="s">
        <v>337</v>
      </c>
      <c r="F504" s="30" t="s">
        <v>11</v>
      </c>
      <c r="G504" s="30" t="s">
        <v>42</v>
      </c>
      <c r="H504" s="32">
        <v>-3.55</v>
      </c>
      <c r="I504" s="40">
        <v>1.36</v>
      </c>
      <c r="J504" s="40" t="s">
        <v>188</v>
      </c>
      <c r="K504" s="37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</row>
    <row r="505" ht="22.5" customHeight="1">
      <c r="A505" s="19" t="s">
        <v>994</v>
      </c>
      <c r="B505" s="21">
        <v>46182.0</v>
      </c>
      <c r="C505" s="30" t="s">
        <v>54</v>
      </c>
      <c r="D505" s="19" t="s">
        <v>385</v>
      </c>
      <c r="E505" s="19" t="s">
        <v>677</v>
      </c>
      <c r="F505" s="30" t="s">
        <v>11</v>
      </c>
      <c r="G505" s="30" t="s">
        <v>48</v>
      </c>
      <c r="H505" s="32">
        <v>-22.8</v>
      </c>
      <c r="I505" s="40">
        <v>30.0</v>
      </c>
      <c r="J505" s="40" t="s">
        <v>678</v>
      </c>
      <c r="K505" s="37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</row>
    <row r="506" ht="22.5" customHeight="1">
      <c r="A506" s="19" t="s">
        <v>995</v>
      </c>
      <c r="B506" s="21">
        <v>46182.0</v>
      </c>
      <c r="C506" s="30" t="s">
        <v>54</v>
      </c>
      <c r="D506" s="19" t="s">
        <v>385</v>
      </c>
      <c r="E506" s="19" t="s">
        <v>398</v>
      </c>
      <c r="F506" s="30" t="s">
        <v>11</v>
      </c>
      <c r="G506" s="30" t="s">
        <v>42</v>
      </c>
      <c r="H506" s="32">
        <v>-2.65</v>
      </c>
      <c r="I506" s="40">
        <v>2.0</v>
      </c>
      <c r="J506" s="40" t="s">
        <v>399</v>
      </c>
      <c r="K506" s="37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</row>
    <row r="507" ht="22.5" customHeight="1">
      <c r="A507" s="19" t="s">
        <v>996</v>
      </c>
      <c r="B507" s="21">
        <v>46182.0</v>
      </c>
      <c r="C507" s="30" t="s">
        <v>54</v>
      </c>
      <c r="D507" s="19" t="s">
        <v>385</v>
      </c>
      <c r="E507" s="19" t="s">
        <v>541</v>
      </c>
      <c r="F507" s="30" t="s">
        <v>11</v>
      </c>
      <c r="G507" s="30" t="s">
        <v>42</v>
      </c>
      <c r="H507" s="32">
        <v>-2.65</v>
      </c>
      <c r="I507" s="40">
        <v>1.2</v>
      </c>
      <c r="J507" s="40" t="s">
        <v>188</v>
      </c>
      <c r="K507" s="37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</row>
    <row r="508" ht="22.5" customHeight="1">
      <c r="A508" s="19" t="s">
        <v>997</v>
      </c>
      <c r="B508" s="21">
        <v>46182.0</v>
      </c>
      <c r="C508" s="30" t="s">
        <v>54</v>
      </c>
      <c r="D508" s="19" t="s">
        <v>385</v>
      </c>
      <c r="E508" s="19" t="s">
        <v>414</v>
      </c>
      <c r="F508" s="30" t="s">
        <v>11</v>
      </c>
      <c r="G508" s="30" t="s">
        <v>42</v>
      </c>
      <c r="H508" s="32">
        <v>-5.7</v>
      </c>
      <c r="I508" s="40">
        <v>2.27</v>
      </c>
      <c r="J508" s="40" t="s">
        <v>188</v>
      </c>
      <c r="K508" s="37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</row>
    <row r="509" ht="22.5" customHeight="1">
      <c r="A509" s="19" t="s">
        <v>998</v>
      </c>
      <c r="B509" s="21">
        <v>46182.0</v>
      </c>
      <c r="C509" s="30" t="s">
        <v>54</v>
      </c>
      <c r="D509" s="19" t="s">
        <v>385</v>
      </c>
      <c r="E509" s="19" t="s">
        <v>476</v>
      </c>
      <c r="F509" s="30" t="s">
        <v>11</v>
      </c>
      <c r="G509" s="30" t="s">
        <v>42</v>
      </c>
      <c r="H509" s="32">
        <v>-2.6</v>
      </c>
      <c r="I509" s="40">
        <v>1.0</v>
      </c>
      <c r="J509" s="40" t="s">
        <v>399</v>
      </c>
      <c r="K509" s="37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</row>
    <row r="510" ht="22.5" customHeight="1">
      <c r="A510" s="19" t="s">
        <v>999</v>
      </c>
      <c r="B510" s="21">
        <v>46183.0</v>
      </c>
      <c r="C510" s="30" t="s">
        <v>54</v>
      </c>
      <c r="D510" s="19" t="s">
        <v>317</v>
      </c>
      <c r="E510" s="19" t="s">
        <v>1000</v>
      </c>
      <c r="F510" s="30" t="s">
        <v>44</v>
      </c>
      <c r="G510" s="30" t="s">
        <v>283</v>
      </c>
      <c r="H510" s="32">
        <v>-195.0</v>
      </c>
      <c r="I510" s="35"/>
      <c r="J510" s="35"/>
      <c r="K510" s="37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</row>
    <row r="511" ht="22.5" customHeight="1">
      <c r="A511" s="19" t="s">
        <v>1001</v>
      </c>
      <c r="B511" s="21">
        <v>46183.0</v>
      </c>
      <c r="C511" s="30" t="s">
        <v>142</v>
      </c>
      <c r="D511" s="19" t="s">
        <v>331</v>
      </c>
      <c r="E511" s="19" t="s">
        <v>285</v>
      </c>
      <c r="F511" s="30" t="s">
        <v>6</v>
      </c>
      <c r="G511" s="30" t="s">
        <v>285</v>
      </c>
      <c r="H511" s="32">
        <v>15.46</v>
      </c>
      <c r="I511" s="35"/>
      <c r="J511" s="35"/>
      <c r="K511" s="37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</row>
    <row r="512" ht="22.5" customHeight="1">
      <c r="A512" s="19" t="s">
        <v>1002</v>
      </c>
      <c r="B512" s="21">
        <v>46184.0</v>
      </c>
      <c r="C512" s="30" t="s">
        <v>54</v>
      </c>
      <c r="D512" s="19" t="s">
        <v>334</v>
      </c>
      <c r="E512" s="19" t="s">
        <v>335</v>
      </c>
      <c r="F512" s="30" t="s">
        <v>35</v>
      </c>
      <c r="G512" s="30" t="s">
        <v>294</v>
      </c>
      <c r="H512" s="32">
        <v>-20.04</v>
      </c>
      <c r="I512" s="35"/>
      <c r="J512" s="35"/>
      <c r="K512" s="37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</row>
    <row r="513" ht="22.5" customHeight="1">
      <c r="A513" s="19" t="s">
        <v>1003</v>
      </c>
      <c r="B513" s="21">
        <v>46185.0</v>
      </c>
      <c r="C513" s="30" t="s">
        <v>34</v>
      </c>
      <c r="D513" s="19" t="s">
        <v>321</v>
      </c>
      <c r="E513" s="19" t="s">
        <v>321</v>
      </c>
      <c r="F513" s="30" t="s">
        <v>103</v>
      </c>
      <c r="G513" s="30" t="s">
        <v>279</v>
      </c>
      <c r="H513" s="32">
        <v>-312.69</v>
      </c>
      <c r="I513" s="35"/>
      <c r="J513" s="35"/>
      <c r="K513" s="37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</row>
    <row r="514" ht="22.5" customHeight="1">
      <c r="A514" s="19" t="s">
        <v>1004</v>
      </c>
      <c r="B514" s="21">
        <v>46185.0</v>
      </c>
      <c r="C514" s="30" t="s">
        <v>54</v>
      </c>
      <c r="D514" s="19" t="s">
        <v>321</v>
      </c>
      <c r="E514" s="19" t="s">
        <v>321</v>
      </c>
      <c r="F514" s="30" t="s">
        <v>103</v>
      </c>
      <c r="G514" s="30" t="s">
        <v>105</v>
      </c>
      <c r="H514" s="32">
        <v>312.69</v>
      </c>
      <c r="I514" s="35"/>
      <c r="J514" s="35"/>
      <c r="K514" s="37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</row>
    <row r="515" ht="22.5" customHeight="1">
      <c r="A515" s="19" t="s">
        <v>1005</v>
      </c>
      <c r="B515" s="21">
        <v>46185.0</v>
      </c>
      <c r="C515" s="30" t="s">
        <v>134</v>
      </c>
      <c r="D515" s="19" t="s">
        <v>314</v>
      </c>
      <c r="E515" s="19" t="s">
        <v>507</v>
      </c>
      <c r="F515" s="30" t="s">
        <v>51</v>
      </c>
      <c r="G515" s="30" t="s">
        <v>283</v>
      </c>
      <c r="H515" s="32">
        <v>-160.0</v>
      </c>
      <c r="I515" s="35"/>
      <c r="J515" s="35"/>
      <c r="K515" s="37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</row>
    <row r="516" ht="22.5" customHeight="1">
      <c r="A516" s="19" t="s">
        <v>1006</v>
      </c>
      <c r="B516" s="21">
        <v>46186.0</v>
      </c>
      <c r="C516" s="30" t="s">
        <v>54</v>
      </c>
      <c r="D516" s="19" t="s">
        <v>1007</v>
      </c>
      <c r="E516" s="19" t="s">
        <v>1008</v>
      </c>
      <c r="F516" s="30" t="s">
        <v>35</v>
      </c>
      <c r="G516" s="30" t="s">
        <v>251</v>
      </c>
      <c r="H516" s="32">
        <v>-61.3</v>
      </c>
      <c r="I516" s="35"/>
      <c r="J516" s="35"/>
      <c r="K516" s="37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</row>
    <row r="517" ht="22.5" customHeight="1">
      <c r="A517" s="19" t="s">
        <v>1009</v>
      </c>
      <c r="B517" s="21">
        <v>46187.0</v>
      </c>
      <c r="C517" s="30" t="s">
        <v>54</v>
      </c>
      <c r="D517" s="19" t="s">
        <v>158</v>
      </c>
      <c r="E517" s="19" t="s">
        <v>159</v>
      </c>
      <c r="F517" s="30" t="s">
        <v>11</v>
      </c>
      <c r="G517" s="30" t="s">
        <v>57</v>
      </c>
      <c r="H517" s="32">
        <v>-158.4</v>
      </c>
      <c r="I517" s="40">
        <v>30.0</v>
      </c>
      <c r="J517" s="40" t="s">
        <v>161</v>
      </c>
      <c r="K517" s="37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</row>
    <row r="518" ht="22.5" customHeight="1">
      <c r="A518" s="19" t="s">
        <v>1010</v>
      </c>
      <c r="B518" s="21">
        <v>46189.0</v>
      </c>
      <c r="C518" s="30" t="s">
        <v>54</v>
      </c>
      <c r="D518" s="19" t="s">
        <v>475</v>
      </c>
      <c r="E518" s="19" t="s">
        <v>263</v>
      </c>
      <c r="F518" s="30" t="s">
        <v>11</v>
      </c>
      <c r="G518" s="30" t="s">
        <v>42</v>
      </c>
      <c r="H518" s="32">
        <v>-17.6</v>
      </c>
      <c r="I518" s="40">
        <v>1.4</v>
      </c>
      <c r="J518" s="40" t="s">
        <v>188</v>
      </c>
      <c r="K518" s="37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</row>
    <row r="519" ht="22.5" customHeight="1">
      <c r="A519" s="19" t="s">
        <v>1011</v>
      </c>
      <c r="B519" s="21">
        <v>46189.0</v>
      </c>
      <c r="C519" s="30" t="s">
        <v>54</v>
      </c>
      <c r="D519" s="19" t="s">
        <v>475</v>
      </c>
      <c r="E519" s="19" t="s">
        <v>643</v>
      </c>
      <c r="F519" s="30" t="s">
        <v>11</v>
      </c>
      <c r="G519" s="30" t="s">
        <v>42</v>
      </c>
      <c r="H519" s="32">
        <v>-19.4</v>
      </c>
      <c r="I519" s="40">
        <v>1.0</v>
      </c>
      <c r="J519" s="40" t="s">
        <v>188</v>
      </c>
      <c r="K519" s="37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</row>
    <row r="520" ht="22.5" customHeight="1">
      <c r="A520" s="19" t="s">
        <v>1012</v>
      </c>
      <c r="B520" s="21">
        <v>46189.0</v>
      </c>
      <c r="C520" s="30" t="s">
        <v>54</v>
      </c>
      <c r="D520" s="19" t="s">
        <v>475</v>
      </c>
      <c r="E520" s="19" t="s">
        <v>729</v>
      </c>
      <c r="F520" s="30" t="s">
        <v>11</v>
      </c>
      <c r="G520" s="30" t="s">
        <v>42</v>
      </c>
      <c r="H520" s="32">
        <v>-45.1</v>
      </c>
      <c r="I520" s="40">
        <v>1.1</v>
      </c>
      <c r="J520" s="40" t="s">
        <v>188</v>
      </c>
      <c r="K520" s="37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</row>
    <row r="521" ht="22.5" customHeight="1">
      <c r="A521" s="19" t="s">
        <v>1013</v>
      </c>
      <c r="B521" s="21">
        <v>46189.0</v>
      </c>
      <c r="C521" s="30" t="s">
        <v>54</v>
      </c>
      <c r="D521" s="19" t="s">
        <v>475</v>
      </c>
      <c r="E521" s="19" t="s">
        <v>346</v>
      </c>
      <c r="F521" s="30" t="s">
        <v>11</v>
      </c>
      <c r="G521" s="30" t="s">
        <v>42</v>
      </c>
      <c r="H521" s="32">
        <v>-5.15</v>
      </c>
      <c r="I521" s="40">
        <v>1.05</v>
      </c>
      <c r="J521" s="40" t="s">
        <v>188</v>
      </c>
      <c r="K521" s="37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</row>
    <row r="522" ht="22.5" customHeight="1">
      <c r="A522" s="19" t="s">
        <v>1014</v>
      </c>
      <c r="B522" s="21">
        <v>46189.0</v>
      </c>
      <c r="C522" s="30" t="s">
        <v>54</v>
      </c>
      <c r="D522" s="19" t="s">
        <v>475</v>
      </c>
      <c r="E522" s="19" t="s">
        <v>554</v>
      </c>
      <c r="F522" s="30" t="s">
        <v>11</v>
      </c>
      <c r="G522" s="30" t="s">
        <v>48</v>
      </c>
      <c r="H522" s="32">
        <v>-27.5</v>
      </c>
      <c r="I522" s="40">
        <v>80.0</v>
      </c>
      <c r="J522" s="40" t="s">
        <v>552</v>
      </c>
      <c r="K522" s="37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</row>
    <row r="523" ht="22.5" customHeight="1">
      <c r="A523" s="19" t="s">
        <v>1015</v>
      </c>
      <c r="B523" s="21">
        <v>46189.0</v>
      </c>
      <c r="C523" s="30" t="s">
        <v>54</v>
      </c>
      <c r="D523" s="19" t="s">
        <v>475</v>
      </c>
      <c r="E523" s="19" t="s">
        <v>213</v>
      </c>
      <c r="F523" s="30" t="s">
        <v>11</v>
      </c>
      <c r="G523" s="30" t="s">
        <v>42</v>
      </c>
      <c r="H523" s="32">
        <v>-26.6</v>
      </c>
      <c r="I523" s="40">
        <v>1.4</v>
      </c>
      <c r="J523" s="40" t="s">
        <v>188</v>
      </c>
      <c r="K523" s="37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</row>
    <row r="524" ht="22.5" customHeight="1">
      <c r="A524" s="19" t="s">
        <v>1016</v>
      </c>
      <c r="B524" s="21">
        <v>46189.0</v>
      </c>
      <c r="C524" s="30" t="s">
        <v>54</v>
      </c>
      <c r="D524" s="19" t="s">
        <v>475</v>
      </c>
      <c r="E524" s="19" t="s">
        <v>602</v>
      </c>
      <c r="F524" s="30" t="s">
        <v>11</v>
      </c>
      <c r="G524" s="30" t="s">
        <v>42</v>
      </c>
      <c r="H524" s="32">
        <v>-25.6</v>
      </c>
      <c r="I524" s="40">
        <v>1.6</v>
      </c>
      <c r="J524" s="40" t="s">
        <v>188</v>
      </c>
      <c r="K524" s="37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</row>
    <row r="525" ht="22.5" customHeight="1">
      <c r="A525" s="19" t="s">
        <v>1017</v>
      </c>
      <c r="B525" s="21">
        <v>46191.0</v>
      </c>
      <c r="C525" s="30" t="s">
        <v>54</v>
      </c>
      <c r="D525" s="19" t="s">
        <v>158</v>
      </c>
      <c r="E525" s="19" t="s">
        <v>665</v>
      </c>
      <c r="F525" s="30" t="s">
        <v>61</v>
      </c>
      <c r="G525" s="30" t="s">
        <v>272</v>
      </c>
      <c r="H525" s="32">
        <v>-30.67</v>
      </c>
      <c r="I525" s="35"/>
      <c r="J525" s="35"/>
      <c r="K525" s="37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</row>
    <row r="526" ht="22.5" customHeight="1">
      <c r="A526" s="19" t="s">
        <v>1018</v>
      </c>
      <c r="B526" s="21">
        <v>46192.0</v>
      </c>
      <c r="C526" s="30" t="s">
        <v>34</v>
      </c>
      <c r="D526" s="19" t="s">
        <v>321</v>
      </c>
      <c r="E526" s="19" t="s">
        <v>321</v>
      </c>
      <c r="F526" s="30" t="s">
        <v>103</v>
      </c>
      <c r="G526" s="30" t="s">
        <v>279</v>
      </c>
      <c r="H526" s="32">
        <v>-417.32</v>
      </c>
      <c r="I526" s="35"/>
      <c r="J526" s="35"/>
      <c r="K526" s="37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</row>
    <row r="527" ht="22.5" customHeight="1">
      <c r="A527" s="19" t="s">
        <v>1019</v>
      </c>
      <c r="B527" s="21">
        <v>46192.0</v>
      </c>
      <c r="C527" s="30" t="s">
        <v>54</v>
      </c>
      <c r="D527" s="19" t="s">
        <v>321</v>
      </c>
      <c r="E527" s="19" t="s">
        <v>321</v>
      </c>
      <c r="F527" s="30" t="s">
        <v>103</v>
      </c>
      <c r="G527" s="30" t="s">
        <v>105</v>
      </c>
      <c r="H527" s="32">
        <v>417.32</v>
      </c>
      <c r="I527" s="35"/>
      <c r="J527" s="35"/>
      <c r="K527" s="37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</row>
    <row r="528" ht="22.5" customHeight="1">
      <c r="A528" s="19" t="s">
        <v>1020</v>
      </c>
      <c r="B528" s="21">
        <v>46192.0</v>
      </c>
      <c r="C528" s="30" t="s">
        <v>34</v>
      </c>
      <c r="D528" s="19" t="s">
        <v>78</v>
      </c>
      <c r="E528" s="19" t="s">
        <v>70</v>
      </c>
      <c r="F528" s="30" t="s">
        <v>6</v>
      </c>
      <c r="G528" s="30" t="s">
        <v>70</v>
      </c>
      <c r="H528" s="32">
        <v>1560.23</v>
      </c>
      <c r="I528" s="35"/>
      <c r="J528" s="35"/>
      <c r="K528" s="37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</row>
    <row r="529" ht="22.5" customHeight="1">
      <c r="A529" s="19" t="s">
        <v>1021</v>
      </c>
      <c r="B529" s="21">
        <v>46192.0</v>
      </c>
      <c r="C529" s="30" t="s">
        <v>34</v>
      </c>
      <c r="D529" s="19" t="s">
        <v>69</v>
      </c>
      <c r="E529" s="19" t="s">
        <v>70</v>
      </c>
      <c r="F529" s="30" t="s">
        <v>6</v>
      </c>
      <c r="G529" s="30" t="s">
        <v>70</v>
      </c>
      <c r="H529" s="32">
        <v>2010.98</v>
      </c>
      <c r="I529" s="35"/>
      <c r="J529" s="35"/>
      <c r="K529" s="37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</row>
    <row r="530" ht="22.5" customHeight="1">
      <c r="A530" s="19" t="s">
        <v>1022</v>
      </c>
      <c r="B530" s="21">
        <v>46193.0</v>
      </c>
      <c r="C530" s="30" t="s">
        <v>54</v>
      </c>
      <c r="D530" s="19" t="s">
        <v>164</v>
      </c>
      <c r="E530" s="19" t="s">
        <v>1023</v>
      </c>
      <c r="F530" s="30" t="s">
        <v>11</v>
      </c>
      <c r="G530" s="30" t="s">
        <v>66</v>
      </c>
      <c r="H530" s="32">
        <v>-12.4</v>
      </c>
      <c r="I530" s="40">
        <v>100.0</v>
      </c>
      <c r="J530" s="40" t="s">
        <v>438</v>
      </c>
      <c r="K530" s="37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</row>
    <row r="531" ht="22.5" customHeight="1">
      <c r="A531" s="19" t="s">
        <v>1024</v>
      </c>
      <c r="B531" s="21">
        <v>46193.0</v>
      </c>
      <c r="C531" s="30" t="s">
        <v>54</v>
      </c>
      <c r="D531" s="19" t="s">
        <v>1025</v>
      </c>
      <c r="E531" s="19" t="s">
        <v>1026</v>
      </c>
      <c r="F531" s="30" t="s">
        <v>35</v>
      </c>
      <c r="G531" s="30" t="s">
        <v>251</v>
      </c>
      <c r="H531" s="32">
        <v>-74.8</v>
      </c>
      <c r="I531" s="35"/>
      <c r="J531" s="35"/>
      <c r="K531" s="37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</row>
    <row r="532" ht="22.5" customHeight="1">
      <c r="A532" s="19" t="s">
        <v>1027</v>
      </c>
      <c r="B532" s="21">
        <v>46194.0</v>
      </c>
      <c r="C532" s="30" t="s">
        <v>54</v>
      </c>
      <c r="D532" s="19" t="s">
        <v>648</v>
      </c>
      <c r="E532" s="19" t="s">
        <v>1028</v>
      </c>
      <c r="F532" s="30" t="s">
        <v>35</v>
      </c>
      <c r="G532" s="30" t="s">
        <v>277</v>
      </c>
      <c r="H532" s="32">
        <v>-28.5</v>
      </c>
      <c r="I532" s="35"/>
      <c r="J532" s="35"/>
      <c r="K532" s="37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</row>
    <row r="533" ht="22.5" customHeight="1">
      <c r="A533" s="19" t="s">
        <v>1029</v>
      </c>
      <c r="B533" s="21">
        <v>46196.0</v>
      </c>
      <c r="C533" s="30" t="s">
        <v>54</v>
      </c>
      <c r="D533" s="19" t="s">
        <v>164</v>
      </c>
      <c r="E533" s="19" t="s">
        <v>354</v>
      </c>
      <c r="F533" s="30" t="s">
        <v>11</v>
      </c>
      <c r="G533" s="30" t="s">
        <v>42</v>
      </c>
      <c r="H533" s="32">
        <v>-4.35</v>
      </c>
      <c r="I533" s="40">
        <v>12.0</v>
      </c>
      <c r="J533" s="40" t="s">
        <v>355</v>
      </c>
      <c r="K533" s="37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</row>
    <row r="534" ht="22.5" customHeight="1">
      <c r="A534" s="19" t="s">
        <v>1030</v>
      </c>
      <c r="B534" s="21">
        <v>46196.0</v>
      </c>
      <c r="C534" s="30" t="s">
        <v>54</v>
      </c>
      <c r="D534" s="19" t="s">
        <v>164</v>
      </c>
      <c r="E534" s="19" t="s">
        <v>241</v>
      </c>
      <c r="F534" s="30" t="s">
        <v>11</v>
      </c>
      <c r="G534" s="30" t="s">
        <v>42</v>
      </c>
      <c r="H534" s="32">
        <v>-37.9</v>
      </c>
      <c r="I534" s="40">
        <v>0.7</v>
      </c>
      <c r="J534" s="40" t="s">
        <v>188</v>
      </c>
      <c r="K534" s="37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</row>
    <row r="535" ht="22.5" customHeight="1">
      <c r="A535" s="19" t="s">
        <v>1031</v>
      </c>
      <c r="B535" s="21">
        <v>46196.0</v>
      </c>
      <c r="C535" s="30" t="s">
        <v>54</v>
      </c>
      <c r="D535" s="19" t="s">
        <v>164</v>
      </c>
      <c r="E535" s="19" t="s">
        <v>296</v>
      </c>
      <c r="F535" s="30" t="s">
        <v>11</v>
      </c>
      <c r="G535" s="30" t="s">
        <v>42</v>
      </c>
      <c r="H535" s="32">
        <v>-16.2</v>
      </c>
      <c r="I535" s="40">
        <v>1.6</v>
      </c>
      <c r="J535" s="40" t="s">
        <v>188</v>
      </c>
      <c r="K535" s="37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</row>
    <row r="536" ht="22.5" customHeight="1">
      <c r="A536" s="19" t="s">
        <v>1032</v>
      </c>
      <c r="B536" s="21">
        <v>46196.0</v>
      </c>
      <c r="C536" s="30" t="s">
        <v>54</v>
      </c>
      <c r="D536" s="19" t="s">
        <v>164</v>
      </c>
      <c r="E536" s="19" t="s">
        <v>269</v>
      </c>
      <c r="F536" s="30" t="s">
        <v>11</v>
      </c>
      <c r="G536" s="30" t="s">
        <v>42</v>
      </c>
      <c r="H536" s="32">
        <v>-12.5</v>
      </c>
      <c r="I536" s="40">
        <v>2.0</v>
      </c>
      <c r="J536" s="40" t="s">
        <v>201</v>
      </c>
      <c r="K536" s="37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</row>
    <row r="537" ht="22.5" customHeight="1">
      <c r="A537" s="19" t="s">
        <v>1033</v>
      </c>
      <c r="B537" s="21">
        <v>46196.0</v>
      </c>
      <c r="C537" s="30" t="s">
        <v>54</v>
      </c>
      <c r="D537" s="19" t="s">
        <v>607</v>
      </c>
      <c r="E537" s="19" t="s">
        <v>608</v>
      </c>
      <c r="F537" s="30" t="s">
        <v>11</v>
      </c>
      <c r="G537" s="30" t="s">
        <v>42</v>
      </c>
      <c r="H537" s="32">
        <v>-17.2</v>
      </c>
      <c r="I537" s="40">
        <v>0.75</v>
      </c>
      <c r="J537" s="40" t="s">
        <v>166</v>
      </c>
      <c r="K537" s="37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</row>
    <row r="538" ht="22.5" customHeight="1">
      <c r="A538" s="19" t="s">
        <v>1034</v>
      </c>
      <c r="B538" s="21">
        <v>46196.0</v>
      </c>
      <c r="C538" s="30" t="s">
        <v>134</v>
      </c>
      <c r="D538" s="19" t="s">
        <v>419</v>
      </c>
      <c r="E538" s="19" t="s">
        <v>15</v>
      </c>
      <c r="F538" s="30" t="s">
        <v>11</v>
      </c>
      <c r="G538" s="30" t="s">
        <v>8</v>
      </c>
      <c r="H538" s="32">
        <v>-145.6</v>
      </c>
      <c r="I538" s="35"/>
      <c r="J538" s="35"/>
      <c r="K538" s="37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</row>
    <row r="539" ht="22.5" customHeight="1">
      <c r="A539" s="19" t="s">
        <v>1035</v>
      </c>
      <c r="B539" s="21">
        <v>46196.0</v>
      </c>
      <c r="C539" s="30" t="s">
        <v>54</v>
      </c>
      <c r="D539" s="19" t="s">
        <v>164</v>
      </c>
      <c r="E539" s="19" t="s">
        <v>301</v>
      </c>
      <c r="F539" s="30" t="s">
        <v>11</v>
      </c>
      <c r="G539" s="30" t="s">
        <v>42</v>
      </c>
      <c r="H539" s="32">
        <v>-5.6</v>
      </c>
      <c r="I539" s="40">
        <v>1.0</v>
      </c>
      <c r="J539" s="40" t="s">
        <v>304</v>
      </c>
      <c r="K539" s="37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</row>
    <row r="540" ht="22.5" customHeight="1">
      <c r="A540" s="19" t="s">
        <v>1036</v>
      </c>
      <c r="B540" s="21">
        <v>46196.0</v>
      </c>
      <c r="C540" s="30" t="s">
        <v>54</v>
      </c>
      <c r="D540" s="19" t="s">
        <v>164</v>
      </c>
      <c r="E540" s="19" t="s">
        <v>562</v>
      </c>
      <c r="F540" s="30" t="s">
        <v>11</v>
      </c>
      <c r="G540" s="30" t="s">
        <v>42</v>
      </c>
      <c r="H540" s="32">
        <v>-14.97</v>
      </c>
      <c r="I540" s="40">
        <v>8.0</v>
      </c>
      <c r="J540" s="40" t="s">
        <v>563</v>
      </c>
      <c r="K540" s="37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</row>
    <row r="541" ht="22.5" customHeight="1">
      <c r="A541" s="19" t="s">
        <v>1037</v>
      </c>
      <c r="B541" s="21">
        <v>46198.0</v>
      </c>
      <c r="C541" s="30" t="s">
        <v>54</v>
      </c>
      <c r="D541" s="19" t="s">
        <v>361</v>
      </c>
      <c r="E541" s="19" t="s">
        <v>1038</v>
      </c>
      <c r="F541" s="30" t="s">
        <v>44</v>
      </c>
      <c r="G541" s="30" t="s">
        <v>271</v>
      </c>
      <c r="H541" s="32">
        <v>-38.9</v>
      </c>
      <c r="I541" s="35"/>
      <c r="J541" s="35"/>
      <c r="K541" s="37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</row>
    <row r="542" ht="22.5" customHeight="1">
      <c r="A542" s="19" t="s">
        <v>1039</v>
      </c>
      <c r="B542" s="21">
        <v>46199.0</v>
      </c>
      <c r="C542" s="30" t="s">
        <v>134</v>
      </c>
      <c r="D542" s="19" t="s">
        <v>696</v>
      </c>
      <c r="E542" s="19" t="s">
        <v>1040</v>
      </c>
      <c r="F542" s="30" t="s">
        <v>51</v>
      </c>
      <c r="G542" s="30" t="s">
        <v>271</v>
      </c>
      <c r="H542" s="32">
        <v>-64.5</v>
      </c>
      <c r="I542" s="35"/>
      <c r="J542" s="35"/>
      <c r="K542" s="37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</row>
    <row r="543" ht="22.5" customHeight="1">
      <c r="A543" s="19" t="s">
        <v>1041</v>
      </c>
      <c r="B543" s="21">
        <v>46199.0</v>
      </c>
      <c r="C543" s="30" t="s">
        <v>34</v>
      </c>
      <c r="D543" s="19" t="s">
        <v>321</v>
      </c>
      <c r="E543" s="19" t="s">
        <v>321</v>
      </c>
      <c r="F543" s="30" t="s">
        <v>103</v>
      </c>
      <c r="G543" s="30" t="s">
        <v>279</v>
      </c>
      <c r="H543" s="32">
        <v>-263.32</v>
      </c>
      <c r="I543" s="35"/>
      <c r="J543" s="35"/>
      <c r="K543" s="37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</row>
    <row r="544" ht="22.5" customHeight="1">
      <c r="A544" s="19" t="s">
        <v>1042</v>
      </c>
      <c r="B544" s="21">
        <v>46199.0</v>
      </c>
      <c r="C544" s="30" t="s">
        <v>54</v>
      </c>
      <c r="D544" s="19" t="s">
        <v>321</v>
      </c>
      <c r="E544" s="19" t="s">
        <v>321</v>
      </c>
      <c r="F544" s="30" t="s">
        <v>103</v>
      </c>
      <c r="G544" s="30" t="s">
        <v>105</v>
      </c>
      <c r="H544" s="32">
        <v>263.32</v>
      </c>
      <c r="I544" s="35"/>
      <c r="J544" s="35"/>
      <c r="K544" s="37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</row>
    <row r="545" ht="22.5" customHeight="1">
      <c r="A545" s="19" t="s">
        <v>1043</v>
      </c>
      <c r="B545" s="21">
        <v>46200.0</v>
      </c>
      <c r="C545" s="30" t="s">
        <v>54</v>
      </c>
      <c r="D545" s="19" t="s">
        <v>597</v>
      </c>
      <c r="E545" s="19" t="s">
        <v>598</v>
      </c>
      <c r="F545" s="30" t="s">
        <v>35</v>
      </c>
      <c r="G545" s="30" t="s">
        <v>251</v>
      </c>
      <c r="H545" s="32">
        <v>-38.9</v>
      </c>
      <c r="I545" s="35"/>
      <c r="J545" s="35"/>
      <c r="K545" s="37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</row>
    <row r="546" ht="22.5" customHeight="1">
      <c r="A546" s="19" t="s">
        <v>1044</v>
      </c>
      <c r="B546" s="21">
        <v>46202.0</v>
      </c>
      <c r="C546" s="30" t="s">
        <v>54</v>
      </c>
      <c r="D546" s="19" t="s">
        <v>385</v>
      </c>
      <c r="E546" s="19" t="s">
        <v>790</v>
      </c>
      <c r="F546" s="30" t="s">
        <v>11</v>
      </c>
      <c r="G546" s="30" t="s">
        <v>42</v>
      </c>
      <c r="H546" s="32">
        <v>-24.6</v>
      </c>
      <c r="I546" s="40">
        <v>1.2</v>
      </c>
      <c r="J546" s="40" t="s">
        <v>188</v>
      </c>
      <c r="K546" s="37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</row>
    <row r="547" ht="22.5" customHeight="1">
      <c r="A547" s="19" t="s">
        <v>1045</v>
      </c>
      <c r="B547" s="21">
        <v>46202.0</v>
      </c>
      <c r="C547" s="30" t="s">
        <v>54</v>
      </c>
      <c r="D547" s="19" t="s">
        <v>429</v>
      </c>
      <c r="E547" s="19" t="s">
        <v>335</v>
      </c>
      <c r="F547" s="30" t="s">
        <v>35</v>
      </c>
      <c r="G547" s="30" t="s">
        <v>294</v>
      </c>
      <c r="H547" s="32">
        <v>-4.47</v>
      </c>
      <c r="I547" s="35"/>
      <c r="J547" s="35"/>
      <c r="K547" s="37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</row>
    <row r="548" ht="22.5" customHeight="1">
      <c r="A548" s="19" t="s">
        <v>1046</v>
      </c>
      <c r="B548" s="21">
        <v>46202.0</v>
      </c>
      <c r="C548" s="30" t="s">
        <v>54</v>
      </c>
      <c r="D548" s="19" t="s">
        <v>385</v>
      </c>
      <c r="E548" s="19" t="s">
        <v>574</v>
      </c>
      <c r="F548" s="30" t="s">
        <v>11</v>
      </c>
      <c r="G548" s="30" t="s">
        <v>42</v>
      </c>
      <c r="H548" s="32">
        <v>-11.3</v>
      </c>
      <c r="I548" s="40">
        <v>0.8</v>
      </c>
      <c r="J548" s="40" t="s">
        <v>188</v>
      </c>
      <c r="K548" s="37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</row>
    <row r="549" ht="22.5" customHeight="1">
      <c r="A549" s="19" t="s">
        <v>1047</v>
      </c>
      <c r="B549" s="21">
        <v>46202.0</v>
      </c>
      <c r="C549" s="30" t="s">
        <v>54</v>
      </c>
      <c r="D549" s="19" t="s">
        <v>385</v>
      </c>
      <c r="E549" s="19" t="s">
        <v>742</v>
      </c>
      <c r="F549" s="30" t="s">
        <v>11</v>
      </c>
      <c r="G549" s="30" t="s">
        <v>42</v>
      </c>
      <c r="H549" s="32">
        <v>-2.95</v>
      </c>
      <c r="I549" s="40">
        <v>2.0</v>
      </c>
      <c r="J549" s="40" t="s">
        <v>201</v>
      </c>
      <c r="K549" s="37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</row>
    <row r="550" ht="22.5" customHeight="1">
      <c r="A550" s="19" t="s">
        <v>1048</v>
      </c>
      <c r="B550" s="21">
        <v>46202.0</v>
      </c>
      <c r="C550" s="30" t="s">
        <v>54</v>
      </c>
      <c r="D550" s="19" t="s">
        <v>385</v>
      </c>
      <c r="E550" s="19" t="s">
        <v>740</v>
      </c>
      <c r="F550" s="30" t="s">
        <v>11</v>
      </c>
      <c r="G550" s="30" t="s">
        <v>42</v>
      </c>
      <c r="H550" s="32">
        <v>-15.6</v>
      </c>
      <c r="I550" s="40">
        <v>1.1</v>
      </c>
      <c r="J550" s="40" t="s">
        <v>188</v>
      </c>
      <c r="K550" s="37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</row>
    <row r="551" ht="22.5" customHeight="1">
      <c r="A551" s="19" t="s">
        <v>1049</v>
      </c>
      <c r="B551" s="21">
        <v>46202.0</v>
      </c>
      <c r="C551" s="30" t="s">
        <v>54</v>
      </c>
      <c r="D551" s="19" t="s">
        <v>385</v>
      </c>
      <c r="E551" s="19" t="s">
        <v>394</v>
      </c>
      <c r="F551" s="30" t="s">
        <v>11</v>
      </c>
      <c r="G551" s="30" t="s">
        <v>42</v>
      </c>
      <c r="H551" s="32">
        <v>-6.1</v>
      </c>
      <c r="I551" s="40">
        <v>1.6</v>
      </c>
      <c r="J551" s="40" t="s">
        <v>188</v>
      </c>
      <c r="K551" s="37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</row>
    <row r="552" ht="22.5" customHeight="1">
      <c r="A552" s="19" t="s">
        <v>1050</v>
      </c>
      <c r="B552" s="21">
        <v>46203.0</v>
      </c>
      <c r="C552" s="30" t="s">
        <v>34</v>
      </c>
      <c r="D552" s="19" t="s">
        <v>456</v>
      </c>
      <c r="E552" s="19" t="s">
        <v>456</v>
      </c>
      <c r="F552" s="30" t="s">
        <v>22</v>
      </c>
      <c r="G552" s="30" t="s">
        <v>92</v>
      </c>
      <c r="H552" s="145">
        <v>-286.67</v>
      </c>
      <c r="I552" s="35"/>
      <c r="J552" s="35"/>
      <c r="K552" s="37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</row>
    <row r="553" ht="22.5" customHeight="1">
      <c r="A553" s="19" t="s">
        <v>1051</v>
      </c>
      <c r="B553" s="21">
        <v>46203.0</v>
      </c>
      <c r="C553" s="30" t="s">
        <v>102</v>
      </c>
      <c r="D553" s="19" t="s">
        <v>456</v>
      </c>
      <c r="E553" s="19" t="s">
        <v>456</v>
      </c>
      <c r="F553" s="30" t="s">
        <v>103</v>
      </c>
      <c r="G553" s="30" t="s">
        <v>105</v>
      </c>
      <c r="H553" s="145">
        <v>286.67</v>
      </c>
      <c r="I553" s="35"/>
      <c r="J553" s="35"/>
      <c r="K553" s="37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</row>
    <row r="554" ht="22.5" customHeight="1">
      <c r="A554" s="19" t="s">
        <v>1052</v>
      </c>
      <c r="B554" s="21">
        <v>46203.0</v>
      </c>
      <c r="C554" s="30" t="s">
        <v>34</v>
      </c>
      <c r="D554" s="19" t="s">
        <v>456</v>
      </c>
      <c r="E554" s="19" t="s">
        <v>456</v>
      </c>
      <c r="F554" s="30" t="s">
        <v>22</v>
      </c>
      <c r="G554" s="30" t="s">
        <v>92</v>
      </c>
      <c r="H554" s="145">
        <v>-286.67</v>
      </c>
      <c r="I554" s="35"/>
      <c r="J554" s="35"/>
      <c r="K554" s="37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</row>
    <row r="555" ht="22.5" customHeight="1">
      <c r="A555" s="19" t="s">
        <v>1053</v>
      </c>
      <c r="B555" s="21">
        <v>46203.0</v>
      </c>
      <c r="C555" s="30" t="s">
        <v>121</v>
      </c>
      <c r="D555" s="19" t="s">
        <v>456</v>
      </c>
      <c r="E555" s="19" t="s">
        <v>456</v>
      </c>
      <c r="F555" s="30" t="s">
        <v>103</v>
      </c>
      <c r="G555" s="30" t="s">
        <v>105</v>
      </c>
      <c r="H555" s="145">
        <v>286.67</v>
      </c>
      <c r="I555" s="35"/>
      <c r="J555" s="35"/>
      <c r="K555" s="37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</row>
    <row r="556" ht="22.5" customHeight="1">
      <c r="A556" s="19" t="s">
        <v>1054</v>
      </c>
      <c r="B556" s="21">
        <v>46203.0</v>
      </c>
      <c r="C556" s="30" t="s">
        <v>34</v>
      </c>
      <c r="D556" s="19" t="s">
        <v>321</v>
      </c>
      <c r="E556" s="19" t="s">
        <v>321</v>
      </c>
      <c r="F556" s="30" t="s">
        <v>103</v>
      </c>
      <c r="G556" s="30" t="s">
        <v>279</v>
      </c>
      <c r="H556" s="32">
        <v>-541.81</v>
      </c>
      <c r="I556" s="35"/>
      <c r="J556" s="35"/>
      <c r="K556" s="37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</row>
    <row r="557" ht="22.5" customHeight="1">
      <c r="A557" s="19" t="s">
        <v>1055</v>
      </c>
      <c r="B557" s="21">
        <v>46203.0</v>
      </c>
      <c r="C557" s="30" t="s">
        <v>134</v>
      </c>
      <c r="D557" s="19" t="s">
        <v>321</v>
      </c>
      <c r="E557" s="19" t="s">
        <v>321</v>
      </c>
      <c r="F557" s="30" t="s">
        <v>103</v>
      </c>
      <c r="G557" s="30" t="s">
        <v>105</v>
      </c>
      <c r="H557" s="32">
        <v>541.81</v>
      </c>
      <c r="I557" s="35"/>
      <c r="J557" s="35"/>
      <c r="K557" s="37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</row>
    <row r="558" ht="22.5" customHeight="1">
      <c r="A558" s="19" t="s">
        <v>1056</v>
      </c>
      <c r="B558" s="21">
        <v>46203.0</v>
      </c>
      <c r="C558" s="30" t="s">
        <v>145</v>
      </c>
      <c r="D558" s="19" t="s">
        <v>331</v>
      </c>
      <c r="E558" s="19" t="s">
        <v>285</v>
      </c>
      <c r="F558" s="30" t="s">
        <v>6</v>
      </c>
      <c r="G558" s="30" t="s">
        <v>285</v>
      </c>
      <c r="H558" s="32">
        <v>6.27</v>
      </c>
      <c r="I558" s="35"/>
      <c r="J558" s="35"/>
      <c r="K558" s="37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</row>
    <row r="559" ht="22.5" customHeight="1">
      <c r="A559" s="19" t="s">
        <v>1057</v>
      </c>
      <c r="B559" s="21">
        <v>46203.0</v>
      </c>
      <c r="C559" s="30" t="s">
        <v>52</v>
      </c>
      <c r="D559" s="19" t="s">
        <v>331</v>
      </c>
      <c r="E559" s="19" t="s">
        <v>469</v>
      </c>
      <c r="F559" s="30" t="s">
        <v>6</v>
      </c>
      <c r="G559" s="30" t="s">
        <v>280</v>
      </c>
      <c r="H559" s="32">
        <v>64.8</v>
      </c>
      <c r="I559" s="35"/>
      <c r="J559" s="35"/>
      <c r="K559" s="37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</row>
    <row r="560" ht="22.5" customHeight="1">
      <c r="A560" s="19" t="s">
        <v>1058</v>
      </c>
      <c r="B560" s="21">
        <v>46204.0</v>
      </c>
      <c r="C560" s="30" t="s">
        <v>54</v>
      </c>
      <c r="D560" s="19" t="s">
        <v>147</v>
      </c>
      <c r="E560" s="19" t="s">
        <v>148</v>
      </c>
      <c r="F560" s="30" t="s">
        <v>11</v>
      </c>
      <c r="G560" s="30" t="s">
        <v>62</v>
      </c>
      <c r="H560" s="32">
        <v>-160.0</v>
      </c>
      <c r="I560" s="35"/>
      <c r="J560" s="35"/>
      <c r="K560" s="37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</row>
    <row r="561" ht="22.5" customHeight="1">
      <c r="A561" s="19" t="s">
        <v>1059</v>
      </c>
      <c r="B561" s="21">
        <v>46204.0</v>
      </c>
      <c r="C561" s="30" t="s">
        <v>134</v>
      </c>
      <c r="D561" s="19" t="s">
        <v>56</v>
      </c>
      <c r="E561" s="19" t="s">
        <v>33</v>
      </c>
      <c r="F561" s="30" t="s">
        <v>11</v>
      </c>
      <c r="G561" s="30" t="s">
        <v>8</v>
      </c>
      <c r="H561" s="32">
        <v>-24.51</v>
      </c>
      <c r="I561" s="35"/>
      <c r="J561" s="35"/>
      <c r="K561" s="37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</row>
    <row r="562" ht="22.5" customHeight="1">
      <c r="A562" s="19" t="s">
        <v>1060</v>
      </c>
      <c r="B562" s="21">
        <v>46204.0</v>
      </c>
      <c r="C562" s="30" t="s">
        <v>134</v>
      </c>
      <c r="D562" s="19" t="s">
        <v>147</v>
      </c>
      <c r="E562" s="19" t="s">
        <v>148</v>
      </c>
      <c r="F562" s="30" t="s">
        <v>11</v>
      </c>
      <c r="G562" s="30" t="s">
        <v>62</v>
      </c>
      <c r="H562" s="32">
        <v>-80.0</v>
      </c>
      <c r="I562" s="35"/>
      <c r="J562" s="35"/>
      <c r="K562" s="37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</row>
    <row r="563" ht="22.5" customHeight="1">
      <c r="A563" s="19" t="s">
        <v>1061</v>
      </c>
      <c r="B563" s="21">
        <v>46204.0</v>
      </c>
      <c r="C563" s="30" t="s">
        <v>34</v>
      </c>
      <c r="D563" s="19" t="s">
        <v>37</v>
      </c>
      <c r="E563" s="19" t="s">
        <v>9</v>
      </c>
      <c r="F563" s="30" t="s">
        <v>11</v>
      </c>
      <c r="G563" s="30" t="s">
        <v>8</v>
      </c>
      <c r="H563" s="32">
        <v>-2300.0</v>
      </c>
      <c r="I563" s="35"/>
      <c r="J563" s="35"/>
      <c r="K563" s="37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</row>
    <row r="564" ht="22.5" customHeight="1">
      <c r="A564" s="19" t="s">
        <v>1062</v>
      </c>
      <c r="B564" s="21">
        <v>46205.0</v>
      </c>
      <c r="C564" s="30" t="s">
        <v>54</v>
      </c>
      <c r="D564" s="19" t="s">
        <v>164</v>
      </c>
      <c r="E564" s="19" t="s">
        <v>454</v>
      </c>
      <c r="F564" s="30" t="s">
        <v>11</v>
      </c>
      <c r="G564" s="30" t="s">
        <v>42</v>
      </c>
      <c r="H564" s="32">
        <v>-29.5</v>
      </c>
      <c r="I564" s="40">
        <v>0.45</v>
      </c>
      <c r="J564" s="40" t="s">
        <v>188</v>
      </c>
      <c r="K564" s="37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</row>
    <row r="565" ht="22.5" customHeight="1">
      <c r="A565" s="19" t="s">
        <v>1063</v>
      </c>
      <c r="B565" s="21">
        <v>46205.0</v>
      </c>
      <c r="C565" s="30" t="s">
        <v>54</v>
      </c>
      <c r="D565" s="19" t="s">
        <v>164</v>
      </c>
      <c r="E565" s="19" t="s">
        <v>622</v>
      </c>
      <c r="F565" s="30" t="s">
        <v>11</v>
      </c>
      <c r="G565" s="30" t="s">
        <v>42</v>
      </c>
      <c r="H565" s="32">
        <v>-7.9</v>
      </c>
      <c r="I565" s="40">
        <v>2.0</v>
      </c>
      <c r="J565" s="40" t="s">
        <v>487</v>
      </c>
      <c r="K565" s="37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</row>
    <row r="566" ht="22.5" customHeight="1">
      <c r="A566" s="19" t="s">
        <v>1064</v>
      </c>
      <c r="B566" s="21">
        <v>46205.0</v>
      </c>
      <c r="C566" s="30" t="s">
        <v>54</v>
      </c>
      <c r="D566" s="19" t="s">
        <v>164</v>
      </c>
      <c r="E566" s="19" t="s">
        <v>224</v>
      </c>
      <c r="F566" s="30" t="s">
        <v>11</v>
      </c>
      <c r="G566" s="30" t="s">
        <v>42</v>
      </c>
      <c r="H566" s="32">
        <v>-4.6</v>
      </c>
      <c r="I566" s="40">
        <v>2.0</v>
      </c>
      <c r="J566" s="40" t="s">
        <v>170</v>
      </c>
      <c r="K566" s="37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</row>
    <row r="567" ht="22.5" customHeight="1">
      <c r="A567" s="19" t="s">
        <v>1065</v>
      </c>
      <c r="B567" s="21">
        <v>46205.0</v>
      </c>
      <c r="C567" s="30" t="s">
        <v>54</v>
      </c>
      <c r="D567" s="19" t="s">
        <v>164</v>
      </c>
      <c r="E567" s="19" t="s">
        <v>463</v>
      </c>
      <c r="F567" s="30" t="s">
        <v>11</v>
      </c>
      <c r="G567" s="30" t="s">
        <v>42</v>
      </c>
      <c r="H567" s="32">
        <v>-24.6</v>
      </c>
      <c r="I567" s="40">
        <v>0.907</v>
      </c>
      <c r="J567" s="40" t="s">
        <v>188</v>
      </c>
      <c r="K567" s="37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</row>
    <row r="568" ht="22.5" customHeight="1">
      <c r="A568" s="19" t="s">
        <v>1066</v>
      </c>
      <c r="B568" s="21">
        <v>46205.0</v>
      </c>
      <c r="C568" s="30" t="s">
        <v>54</v>
      </c>
      <c r="D568" s="19" t="s">
        <v>164</v>
      </c>
      <c r="E568" s="19" t="s">
        <v>386</v>
      </c>
      <c r="F568" s="30" t="s">
        <v>11</v>
      </c>
      <c r="G568" s="30" t="s">
        <v>42</v>
      </c>
      <c r="H568" s="32">
        <v>-4.95</v>
      </c>
      <c r="I568" s="40">
        <v>0.46</v>
      </c>
      <c r="J568" s="40" t="s">
        <v>188</v>
      </c>
      <c r="K568" s="37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</row>
    <row r="569" ht="22.5" customHeight="1">
      <c r="A569" s="19" t="s">
        <v>1067</v>
      </c>
      <c r="B569" s="21">
        <v>46205.0</v>
      </c>
      <c r="C569" s="30" t="s">
        <v>54</v>
      </c>
      <c r="D569" s="19" t="s">
        <v>164</v>
      </c>
      <c r="E569" s="19" t="s">
        <v>274</v>
      </c>
      <c r="F569" s="30" t="s">
        <v>11</v>
      </c>
      <c r="G569" s="30" t="s">
        <v>42</v>
      </c>
      <c r="H569" s="32">
        <v>-6.0</v>
      </c>
      <c r="I569" s="40">
        <v>0.75</v>
      </c>
      <c r="J569" s="40" t="s">
        <v>166</v>
      </c>
      <c r="K569" s="37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</row>
    <row r="570" ht="22.5" customHeight="1">
      <c r="A570" s="19" t="s">
        <v>1068</v>
      </c>
      <c r="B570" s="21">
        <v>46205.0</v>
      </c>
      <c r="C570" s="30" t="s">
        <v>54</v>
      </c>
      <c r="D570" s="19" t="s">
        <v>164</v>
      </c>
      <c r="E570" s="19" t="s">
        <v>557</v>
      </c>
      <c r="F570" s="30" t="s">
        <v>11</v>
      </c>
      <c r="G570" s="30" t="s">
        <v>42</v>
      </c>
      <c r="H570" s="32">
        <v>-3.15</v>
      </c>
      <c r="I570" s="40">
        <v>1.0</v>
      </c>
      <c r="J570" s="40" t="s">
        <v>166</v>
      </c>
      <c r="K570" s="37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</row>
    <row r="571" ht="22.5" customHeight="1">
      <c r="A571" s="19" t="s">
        <v>1069</v>
      </c>
      <c r="B571" s="21">
        <v>46206.0</v>
      </c>
      <c r="C571" s="30" t="s">
        <v>34</v>
      </c>
      <c r="D571" s="19" t="s">
        <v>69</v>
      </c>
      <c r="E571" s="19" t="s">
        <v>70</v>
      </c>
      <c r="F571" s="30" t="s">
        <v>6</v>
      </c>
      <c r="G571" s="30" t="s">
        <v>70</v>
      </c>
      <c r="H571" s="32">
        <v>2010.98</v>
      </c>
      <c r="I571" s="35"/>
      <c r="J571" s="35"/>
      <c r="K571" s="37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</row>
    <row r="572" ht="22.5" customHeight="1">
      <c r="A572" s="19" t="s">
        <v>1070</v>
      </c>
      <c r="B572" s="21">
        <v>46206.0</v>
      </c>
      <c r="C572" s="30" t="s">
        <v>34</v>
      </c>
      <c r="D572" s="19" t="s">
        <v>78</v>
      </c>
      <c r="E572" s="19" t="s">
        <v>70</v>
      </c>
      <c r="F572" s="30" t="s">
        <v>6</v>
      </c>
      <c r="G572" s="30" t="s">
        <v>70</v>
      </c>
      <c r="H572" s="32">
        <v>1560.23</v>
      </c>
      <c r="I572" s="35"/>
      <c r="J572" s="35"/>
      <c r="K572" s="37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</row>
    <row r="573" ht="22.5" customHeight="1">
      <c r="A573" s="19" t="s">
        <v>1071</v>
      </c>
      <c r="B573" s="21">
        <v>46206.0</v>
      </c>
      <c r="C573" s="30" t="s">
        <v>34</v>
      </c>
      <c r="D573" s="19" t="s">
        <v>17</v>
      </c>
      <c r="E573" s="19" t="s">
        <v>17</v>
      </c>
      <c r="F573" s="30" t="s">
        <v>17</v>
      </c>
      <c r="G573" s="30" t="s">
        <v>297</v>
      </c>
      <c r="H573" s="32">
        <v>-1000.0</v>
      </c>
      <c r="I573" s="35"/>
      <c r="J573" s="35"/>
      <c r="K573" s="37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</row>
    <row r="574" ht="22.5" customHeight="1">
      <c r="A574" s="19" t="s">
        <v>1072</v>
      </c>
      <c r="B574" s="21">
        <v>46206.0</v>
      </c>
      <c r="C574" s="30" t="s">
        <v>52</v>
      </c>
      <c r="D574" s="19" t="s">
        <v>17</v>
      </c>
      <c r="E574" s="19" t="s">
        <v>17</v>
      </c>
      <c r="F574" s="30" t="s">
        <v>103</v>
      </c>
      <c r="G574" s="30" t="s">
        <v>105</v>
      </c>
      <c r="H574" s="32">
        <v>1000.0</v>
      </c>
      <c r="I574" s="35"/>
      <c r="J574" s="35"/>
      <c r="K574" s="37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</row>
    <row r="575" ht="22.5" customHeight="1">
      <c r="A575" s="19" t="s">
        <v>1073</v>
      </c>
      <c r="B575" s="21">
        <v>46206.0</v>
      </c>
      <c r="C575" s="30" t="s">
        <v>34</v>
      </c>
      <c r="D575" s="19" t="s">
        <v>22</v>
      </c>
      <c r="E575" s="19" t="s">
        <v>22</v>
      </c>
      <c r="F575" s="30" t="s">
        <v>22</v>
      </c>
      <c r="G575" s="30" t="s">
        <v>92</v>
      </c>
      <c r="H575" s="32">
        <v>-500.0</v>
      </c>
      <c r="I575" s="35"/>
      <c r="J575" s="35"/>
      <c r="K575" s="37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</row>
    <row r="576" ht="22.5" customHeight="1">
      <c r="A576" s="19" t="s">
        <v>1074</v>
      </c>
      <c r="B576" s="21">
        <v>46206.0</v>
      </c>
      <c r="C576" s="30" t="s">
        <v>102</v>
      </c>
      <c r="D576" s="19" t="s">
        <v>22</v>
      </c>
      <c r="E576" s="19" t="s">
        <v>22</v>
      </c>
      <c r="F576" s="30" t="s">
        <v>103</v>
      </c>
      <c r="G576" s="30" t="s">
        <v>105</v>
      </c>
      <c r="H576" s="32">
        <v>500.0</v>
      </c>
      <c r="I576" s="35"/>
      <c r="J576" s="35"/>
      <c r="K576" s="37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</row>
    <row r="577" ht="22.5" customHeight="1">
      <c r="A577" s="19" t="s">
        <v>1075</v>
      </c>
      <c r="B577" s="21">
        <v>46206.0</v>
      </c>
      <c r="C577" s="30" t="s">
        <v>34</v>
      </c>
      <c r="D577" s="19" t="s">
        <v>22</v>
      </c>
      <c r="E577" s="19" t="s">
        <v>22</v>
      </c>
      <c r="F577" s="30" t="s">
        <v>22</v>
      </c>
      <c r="G577" s="30" t="s">
        <v>92</v>
      </c>
      <c r="H577" s="32">
        <v>-500.0</v>
      </c>
      <c r="I577" s="35"/>
      <c r="J577" s="35"/>
      <c r="K577" s="37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</row>
    <row r="578" ht="22.5" customHeight="1">
      <c r="A578" s="19" t="s">
        <v>1076</v>
      </c>
      <c r="B578" s="21">
        <v>46206.0</v>
      </c>
      <c r="C578" s="30" t="s">
        <v>121</v>
      </c>
      <c r="D578" s="19" t="s">
        <v>22</v>
      </c>
      <c r="E578" s="19" t="s">
        <v>22</v>
      </c>
      <c r="F578" s="30" t="s">
        <v>103</v>
      </c>
      <c r="G578" s="30" t="s">
        <v>105</v>
      </c>
      <c r="H578" s="32">
        <v>500.0</v>
      </c>
      <c r="I578" s="35"/>
      <c r="J578" s="35"/>
      <c r="K578" s="37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</row>
    <row r="579" ht="22.5" customHeight="1">
      <c r="A579" s="19" t="s">
        <v>1077</v>
      </c>
      <c r="B579" s="21">
        <v>46206.0</v>
      </c>
      <c r="C579" s="30" t="s">
        <v>34</v>
      </c>
      <c r="D579" s="19" t="s">
        <v>321</v>
      </c>
      <c r="E579" s="19" t="s">
        <v>321</v>
      </c>
      <c r="F579" s="30" t="s">
        <v>103</v>
      </c>
      <c r="G579" s="30" t="s">
        <v>279</v>
      </c>
      <c r="H579" s="32">
        <v>-344.62</v>
      </c>
      <c r="I579" s="35"/>
      <c r="J579" s="35"/>
      <c r="K579" s="37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</row>
    <row r="580" ht="22.5" customHeight="1">
      <c r="A580" s="19" t="s">
        <v>1078</v>
      </c>
      <c r="B580" s="21">
        <v>46206.0</v>
      </c>
      <c r="C580" s="30" t="s">
        <v>54</v>
      </c>
      <c r="D580" s="19" t="s">
        <v>321</v>
      </c>
      <c r="E580" s="19" t="s">
        <v>321</v>
      </c>
      <c r="F580" s="30" t="s">
        <v>103</v>
      </c>
      <c r="G580" s="30" t="s">
        <v>105</v>
      </c>
      <c r="H580" s="32">
        <v>344.62</v>
      </c>
      <c r="I580" s="35"/>
      <c r="J580" s="35"/>
      <c r="K580" s="37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</row>
    <row r="581" ht="22.5" customHeight="1">
      <c r="A581" s="19" t="s">
        <v>1079</v>
      </c>
      <c r="B581" s="21">
        <v>46207.0</v>
      </c>
      <c r="C581" s="30" t="s">
        <v>54</v>
      </c>
      <c r="D581" s="19" t="s">
        <v>248</v>
      </c>
      <c r="E581" s="19" t="s">
        <v>249</v>
      </c>
      <c r="F581" s="30" t="s">
        <v>35</v>
      </c>
      <c r="G581" s="30" t="s">
        <v>251</v>
      </c>
      <c r="H581" s="32">
        <v>-55.2</v>
      </c>
      <c r="I581" s="35"/>
      <c r="J581" s="35"/>
      <c r="K581" s="37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</row>
    <row r="582" ht="22.5" customHeight="1">
      <c r="A582" s="19" t="s">
        <v>1080</v>
      </c>
      <c r="B582" s="21">
        <v>46209.0</v>
      </c>
      <c r="C582" s="30" t="s">
        <v>134</v>
      </c>
      <c r="D582" s="19" t="s">
        <v>258</v>
      </c>
      <c r="E582" s="19" t="s">
        <v>24</v>
      </c>
      <c r="F582" s="30" t="s">
        <v>11</v>
      </c>
      <c r="G582" s="30" t="s">
        <v>8</v>
      </c>
      <c r="H582" s="32">
        <v>-67.2</v>
      </c>
      <c r="I582" s="35"/>
      <c r="J582" s="35"/>
      <c r="K582" s="37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</row>
    <row r="583" ht="22.5" customHeight="1">
      <c r="A583" s="19" t="s">
        <v>1081</v>
      </c>
      <c r="B583" s="21">
        <v>46212.0</v>
      </c>
      <c r="C583" s="30" t="s">
        <v>54</v>
      </c>
      <c r="D583" s="19" t="s">
        <v>475</v>
      </c>
      <c r="E583" s="19" t="s">
        <v>602</v>
      </c>
      <c r="F583" s="30" t="s">
        <v>11</v>
      </c>
      <c r="G583" s="30" t="s">
        <v>42</v>
      </c>
      <c r="H583" s="32">
        <v>-25.9</v>
      </c>
      <c r="I583" s="40">
        <v>1.6</v>
      </c>
      <c r="J583" s="40" t="s">
        <v>188</v>
      </c>
      <c r="K583" s="37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</row>
    <row r="584" ht="22.5" customHeight="1">
      <c r="A584" s="19" t="s">
        <v>1082</v>
      </c>
      <c r="B584" s="21">
        <v>46212.0</v>
      </c>
      <c r="C584" s="30" t="s">
        <v>54</v>
      </c>
      <c r="D584" s="19" t="s">
        <v>475</v>
      </c>
      <c r="E584" s="19" t="s">
        <v>551</v>
      </c>
      <c r="F584" s="30" t="s">
        <v>11</v>
      </c>
      <c r="G584" s="30" t="s">
        <v>48</v>
      </c>
      <c r="H584" s="32">
        <v>-22.9</v>
      </c>
      <c r="I584" s="40">
        <v>76.0</v>
      </c>
      <c r="J584" s="40" t="s">
        <v>552</v>
      </c>
      <c r="K584" s="37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</row>
    <row r="585" ht="22.5" customHeight="1">
      <c r="A585" s="19" t="s">
        <v>1083</v>
      </c>
      <c r="B585" s="21">
        <v>46212.0</v>
      </c>
      <c r="C585" s="30" t="s">
        <v>54</v>
      </c>
      <c r="D585" s="19" t="s">
        <v>475</v>
      </c>
      <c r="E585" s="19" t="s">
        <v>572</v>
      </c>
      <c r="F585" s="30" t="s">
        <v>11</v>
      </c>
      <c r="G585" s="30" t="s">
        <v>42</v>
      </c>
      <c r="H585" s="32">
        <v>-10.4</v>
      </c>
      <c r="I585" s="40">
        <v>3.0</v>
      </c>
      <c r="J585" s="40" t="s">
        <v>399</v>
      </c>
      <c r="K585" s="37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</row>
    <row r="586" ht="22.5" customHeight="1">
      <c r="A586" s="19" t="s">
        <v>1084</v>
      </c>
      <c r="B586" s="21">
        <v>46212.0</v>
      </c>
      <c r="C586" s="30" t="s">
        <v>54</v>
      </c>
      <c r="D586" s="19" t="s">
        <v>475</v>
      </c>
      <c r="E586" s="19" t="s">
        <v>535</v>
      </c>
      <c r="F586" s="30" t="s">
        <v>11</v>
      </c>
      <c r="G586" s="30" t="s">
        <v>42</v>
      </c>
      <c r="H586" s="32">
        <v>-4.25</v>
      </c>
      <c r="I586" s="40">
        <v>1.4</v>
      </c>
      <c r="J586" s="40" t="s">
        <v>188</v>
      </c>
      <c r="K586" s="37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</row>
    <row r="587" ht="22.5" customHeight="1">
      <c r="A587" s="19" t="s">
        <v>1085</v>
      </c>
      <c r="B587" s="21">
        <v>46212.0</v>
      </c>
      <c r="C587" s="30" t="s">
        <v>54</v>
      </c>
      <c r="D587" s="19" t="s">
        <v>475</v>
      </c>
      <c r="E587" s="19" t="s">
        <v>689</v>
      </c>
      <c r="F587" s="30" t="s">
        <v>11</v>
      </c>
      <c r="G587" s="30" t="s">
        <v>42</v>
      </c>
      <c r="H587" s="32">
        <v>-34.9</v>
      </c>
      <c r="I587" s="40">
        <v>0.95</v>
      </c>
      <c r="J587" s="40" t="s">
        <v>188</v>
      </c>
      <c r="K587" s="37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</row>
    <row r="588" ht="22.5" customHeight="1">
      <c r="A588" s="19" t="s">
        <v>1086</v>
      </c>
      <c r="B588" s="21">
        <v>46212.0</v>
      </c>
      <c r="C588" s="30" t="s">
        <v>54</v>
      </c>
      <c r="D588" s="19" t="s">
        <v>475</v>
      </c>
      <c r="E588" s="19" t="s">
        <v>482</v>
      </c>
      <c r="F588" s="30" t="s">
        <v>11</v>
      </c>
      <c r="G588" s="30" t="s">
        <v>42</v>
      </c>
      <c r="H588" s="32">
        <v>-2.65</v>
      </c>
      <c r="I588" s="40">
        <v>2.0</v>
      </c>
      <c r="J588" s="40" t="s">
        <v>201</v>
      </c>
      <c r="K588" s="37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</row>
    <row r="589" ht="22.5" customHeight="1">
      <c r="A589" s="19" t="s">
        <v>1087</v>
      </c>
      <c r="B589" s="21">
        <v>46212.0</v>
      </c>
      <c r="C589" s="30" t="s">
        <v>54</v>
      </c>
      <c r="D589" s="19" t="s">
        <v>475</v>
      </c>
      <c r="E589" s="19" t="s">
        <v>245</v>
      </c>
      <c r="F589" s="30" t="s">
        <v>11</v>
      </c>
      <c r="G589" s="30" t="s">
        <v>42</v>
      </c>
      <c r="H589" s="32">
        <v>-3.7</v>
      </c>
      <c r="I589" s="40">
        <v>1.25</v>
      </c>
      <c r="J589" s="40" t="s">
        <v>188</v>
      </c>
      <c r="K589" s="37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</row>
    <row r="590" ht="22.5" customHeight="1">
      <c r="A590" s="19" t="s">
        <v>1088</v>
      </c>
      <c r="B590" s="21">
        <v>46212.0</v>
      </c>
      <c r="C590" s="30" t="s">
        <v>54</v>
      </c>
      <c r="D590" s="19" t="s">
        <v>475</v>
      </c>
      <c r="E590" s="19" t="s">
        <v>451</v>
      </c>
      <c r="F590" s="30" t="s">
        <v>11</v>
      </c>
      <c r="G590" s="30" t="s">
        <v>42</v>
      </c>
      <c r="H590" s="32">
        <v>-2.45</v>
      </c>
      <c r="I590" s="40">
        <v>0.45</v>
      </c>
      <c r="J590" s="40" t="s">
        <v>188</v>
      </c>
      <c r="K590" s="37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</row>
    <row r="591" ht="22.5" customHeight="1">
      <c r="A591" s="19" t="s">
        <v>1089</v>
      </c>
      <c r="B591" s="21">
        <v>46212.0</v>
      </c>
      <c r="C591" s="30" t="s">
        <v>54</v>
      </c>
      <c r="D591" s="19" t="s">
        <v>475</v>
      </c>
      <c r="E591" s="19" t="s">
        <v>586</v>
      </c>
      <c r="F591" s="30" t="s">
        <v>11</v>
      </c>
      <c r="G591" s="30" t="s">
        <v>42</v>
      </c>
      <c r="H591" s="32">
        <v>-5.55</v>
      </c>
      <c r="I591" s="40">
        <v>1.25</v>
      </c>
      <c r="J591" s="40" t="s">
        <v>188</v>
      </c>
      <c r="K591" s="37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</row>
    <row r="592" ht="22.5" customHeight="1">
      <c r="A592" s="19" t="s">
        <v>1090</v>
      </c>
      <c r="B592" s="21">
        <v>46213.0</v>
      </c>
      <c r="C592" s="30" t="s">
        <v>142</v>
      </c>
      <c r="D592" s="19" t="s">
        <v>331</v>
      </c>
      <c r="E592" s="19" t="s">
        <v>285</v>
      </c>
      <c r="F592" s="30" t="s">
        <v>6</v>
      </c>
      <c r="G592" s="30" t="s">
        <v>285</v>
      </c>
      <c r="H592" s="32">
        <v>18.02</v>
      </c>
      <c r="I592" s="35"/>
      <c r="J592" s="35"/>
      <c r="K592" s="37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</row>
    <row r="593" ht="22.5" customHeight="1">
      <c r="A593" s="19" t="s">
        <v>1091</v>
      </c>
      <c r="B593" s="21">
        <v>46213.0</v>
      </c>
      <c r="C593" s="30" t="s">
        <v>34</v>
      </c>
      <c r="D593" s="19" t="s">
        <v>321</v>
      </c>
      <c r="E593" s="19" t="s">
        <v>321</v>
      </c>
      <c r="F593" s="30" t="s">
        <v>103</v>
      </c>
      <c r="G593" s="30" t="s">
        <v>279</v>
      </c>
      <c r="H593" s="32">
        <v>-167.9</v>
      </c>
      <c r="I593" s="35"/>
      <c r="J593" s="35"/>
      <c r="K593" s="37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</row>
    <row r="594" ht="22.5" customHeight="1">
      <c r="A594" s="19" t="s">
        <v>1092</v>
      </c>
      <c r="B594" s="21">
        <v>46213.0</v>
      </c>
      <c r="C594" s="30" t="s">
        <v>54</v>
      </c>
      <c r="D594" s="19" t="s">
        <v>321</v>
      </c>
      <c r="E594" s="19" t="s">
        <v>321</v>
      </c>
      <c r="F594" s="30" t="s">
        <v>103</v>
      </c>
      <c r="G594" s="30" t="s">
        <v>105</v>
      </c>
      <c r="H594" s="32">
        <v>167.9</v>
      </c>
      <c r="I594" s="35"/>
      <c r="J594" s="35"/>
      <c r="K594" s="37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</row>
    <row r="595" ht="22.5" customHeight="1">
      <c r="A595" s="19" t="s">
        <v>1093</v>
      </c>
      <c r="B595" s="21">
        <v>46214.0</v>
      </c>
      <c r="C595" s="30" t="s">
        <v>54</v>
      </c>
      <c r="D595" s="19" t="s">
        <v>334</v>
      </c>
      <c r="E595" s="19" t="s">
        <v>335</v>
      </c>
      <c r="F595" s="30" t="s">
        <v>35</v>
      </c>
      <c r="G595" s="30" t="s">
        <v>294</v>
      </c>
      <c r="H595" s="32">
        <v>-20.04</v>
      </c>
      <c r="I595" s="35"/>
      <c r="J595" s="35"/>
      <c r="K595" s="37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</row>
    <row r="596" ht="22.5" customHeight="1">
      <c r="A596" s="19" t="s">
        <v>1094</v>
      </c>
      <c r="B596" s="21">
        <v>46214.0</v>
      </c>
      <c r="C596" s="30" t="s">
        <v>54</v>
      </c>
      <c r="D596" s="19" t="s">
        <v>325</v>
      </c>
      <c r="E596" s="19" t="s">
        <v>326</v>
      </c>
      <c r="F596" s="30" t="s">
        <v>35</v>
      </c>
      <c r="G596" s="30" t="s">
        <v>251</v>
      </c>
      <c r="H596" s="32">
        <v>-44.6</v>
      </c>
      <c r="I596" s="35"/>
      <c r="J596" s="35"/>
      <c r="K596" s="37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</row>
    <row r="597" ht="22.5" customHeight="1">
      <c r="A597" s="19" t="s">
        <v>1095</v>
      </c>
      <c r="B597" s="21">
        <v>46215.0</v>
      </c>
      <c r="C597" s="30" t="s">
        <v>54</v>
      </c>
      <c r="D597" s="19" t="s">
        <v>528</v>
      </c>
      <c r="E597" s="19" t="s">
        <v>290</v>
      </c>
      <c r="F597" s="30" t="s">
        <v>61</v>
      </c>
      <c r="G597" s="30" t="s">
        <v>290</v>
      </c>
      <c r="H597" s="32">
        <v>-112.5</v>
      </c>
      <c r="I597" s="35"/>
      <c r="J597" s="35"/>
      <c r="K597" s="37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</row>
    <row r="598" ht="22.5" customHeight="1">
      <c r="A598" s="19" t="s">
        <v>1096</v>
      </c>
      <c r="B598" s="21">
        <v>46215.0</v>
      </c>
      <c r="C598" s="30" t="s">
        <v>54</v>
      </c>
      <c r="D598" s="19" t="s">
        <v>253</v>
      </c>
      <c r="E598" s="19" t="s">
        <v>254</v>
      </c>
      <c r="F598" s="30" t="s">
        <v>11</v>
      </c>
      <c r="G598" s="30" t="s">
        <v>57</v>
      </c>
      <c r="H598" s="32">
        <v>-168.5</v>
      </c>
      <c r="I598" s="40">
        <v>6.0</v>
      </c>
      <c r="J598" s="40" t="s">
        <v>255</v>
      </c>
      <c r="K598" s="37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</row>
    <row r="599" ht="22.5" customHeight="1">
      <c r="A599" s="19" t="s">
        <v>1097</v>
      </c>
      <c r="B599" s="21">
        <v>46215.0</v>
      </c>
      <c r="C599" s="30" t="s">
        <v>54</v>
      </c>
      <c r="D599" s="19" t="s">
        <v>158</v>
      </c>
      <c r="E599" s="19" t="s">
        <v>159</v>
      </c>
      <c r="F599" s="30" t="s">
        <v>11</v>
      </c>
      <c r="G599" s="30" t="s">
        <v>57</v>
      </c>
      <c r="H599" s="32">
        <v>-162.1</v>
      </c>
      <c r="I599" s="40">
        <v>30.0</v>
      </c>
      <c r="J599" s="40" t="s">
        <v>161</v>
      </c>
      <c r="K599" s="37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</row>
    <row r="600" ht="22.5" customHeight="1">
      <c r="A600" s="19" t="s">
        <v>1098</v>
      </c>
      <c r="B600" s="21">
        <v>46216.0</v>
      </c>
      <c r="C600" s="30" t="s">
        <v>34</v>
      </c>
      <c r="D600" s="19" t="s">
        <v>340</v>
      </c>
      <c r="E600" s="19" t="s">
        <v>20</v>
      </c>
      <c r="F600" s="30" t="s">
        <v>11</v>
      </c>
      <c r="G600" s="30" t="s">
        <v>8</v>
      </c>
      <c r="H600" s="32">
        <v>-91.2</v>
      </c>
      <c r="I600" s="35"/>
      <c r="J600" s="35"/>
      <c r="K600" s="37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</row>
    <row r="601" ht="22.5" customHeight="1">
      <c r="A601" s="19" t="s">
        <v>1099</v>
      </c>
      <c r="B601" s="21">
        <v>46218.0</v>
      </c>
      <c r="C601" s="30" t="s">
        <v>54</v>
      </c>
      <c r="D601" s="19" t="s">
        <v>769</v>
      </c>
      <c r="E601" s="19" t="s">
        <v>1100</v>
      </c>
      <c r="F601" s="30" t="s">
        <v>44</v>
      </c>
      <c r="G601" s="30" t="s">
        <v>283</v>
      </c>
      <c r="H601" s="32">
        <v>-84.5</v>
      </c>
      <c r="I601" s="35"/>
      <c r="J601" s="35"/>
      <c r="K601" s="37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</row>
    <row r="602" ht="22.5" customHeight="1">
      <c r="A602" s="19" t="s">
        <v>1101</v>
      </c>
      <c r="B602" s="21">
        <v>46219.0</v>
      </c>
      <c r="C602" s="30" t="s">
        <v>54</v>
      </c>
      <c r="D602" s="19" t="s">
        <v>385</v>
      </c>
      <c r="E602" s="19" t="s">
        <v>643</v>
      </c>
      <c r="F602" s="30" t="s">
        <v>11</v>
      </c>
      <c r="G602" s="30" t="s">
        <v>42</v>
      </c>
      <c r="H602" s="32">
        <v>-19.6</v>
      </c>
      <c r="I602" s="40">
        <v>1.0</v>
      </c>
      <c r="J602" s="40" t="s">
        <v>188</v>
      </c>
      <c r="K602" s="37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</row>
    <row r="603" ht="22.5" customHeight="1">
      <c r="A603" s="19" t="s">
        <v>1102</v>
      </c>
      <c r="B603" s="21">
        <v>46219.0</v>
      </c>
      <c r="C603" s="30" t="s">
        <v>54</v>
      </c>
      <c r="D603" s="19" t="s">
        <v>385</v>
      </c>
      <c r="E603" s="19" t="s">
        <v>736</v>
      </c>
      <c r="F603" s="30" t="s">
        <v>11</v>
      </c>
      <c r="G603" s="30" t="s">
        <v>42</v>
      </c>
      <c r="H603" s="32">
        <v>-5.7</v>
      </c>
      <c r="I603" s="40">
        <v>0.5</v>
      </c>
      <c r="J603" s="40" t="s">
        <v>166</v>
      </c>
      <c r="K603" s="37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</row>
    <row r="604" ht="22.5" customHeight="1">
      <c r="A604" s="19" t="s">
        <v>1103</v>
      </c>
      <c r="B604" s="21">
        <v>46219.0</v>
      </c>
      <c r="C604" s="30" t="s">
        <v>54</v>
      </c>
      <c r="D604" s="19" t="s">
        <v>385</v>
      </c>
      <c r="E604" s="19" t="s">
        <v>543</v>
      </c>
      <c r="F604" s="30" t="s">
        <v>11</v>
      </c>
      <c r="G604" s="30" t="s">
        <v>42</v>
      </c>
      <c r="H604" s="32">
        <v>-7.4</v>
      </c>
      <c r="I604" s="40">
        <v>0.68</v>
      </c>
      <c r="J604" s="40" t="s">
        <v>166</v>
      </c>
      <c r="K604" s="37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</row>
    <row r="605" ht="22.5" customHeight="1">
      <c r="A605" s="19" t="s">
        <v>1104</v>
      </c>
      <c r="B605" s="21">
        <v>46219.0</v>
      </c>
      <c r="C605" s="30" t="s">
        <v>54</v>
      </c>
      <c r="D605" s="19" t="s">
        <v>385</v>
      </c>
      <c r="E605" s="19" t="s">
        <v>484</v>
      </c>
      <c r="F605" s="30" t="s">
        <v>11</v>
      </c>
      <c r="G605" s="30" t="s">
        <v>42</v>
      </c>
      <c r="H605" s="32">
        <v>-10.2</v>
      </c>
      <c r="I605" s="40">
        <v>0.4</v>
      </c>
      <c r="J605" s="40" t="s">
        <v>166</v>
      </c>
      <c r="K605" s="37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</row>
    <row r="606" ht="22.5" customHeight="1">
      <c r="A606" s="19" t="s">
        <v>1105</v>
      </c>
      <c r="B606" s="21">
        <v>46219.0</v>
      </c>
      <c r="C606" s="30" t="s">
        <v>54</v>
      </c>
      <c r="D606" s="19" t="s">
        <v>385</v>
      </c>
      <c r="E606" s="19" t="s">
        <v>559</v>
      </c>
      <c r="F606" s="30" t="s">
        <v>11</v>
      </c>
      <c r="G606" s="30" t="s">
        <v>42</v>
      </c>
      <c r="H606" s="32">
        <v>-8.1</v>
      </c>
      <c r="I606" s="40">
        <v>1.5</v>
      </c>
      <c r="J606" s="40" t="s">
        <v>188</v>
      </c>
      <c r="K606" s="37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</row>
    <row r="607" ht="22.5" customHeight="1">
      <c r="A607" s="19" t="s">
        <v>1106</v>
      </c>
      <c r="B607" s="21">
        <v>46219.0</v>
      </c>
      <c r="C607" s="30" t="s">
        <v>54</v>
      </c>
      <c r="D607" s="19" t="s">
        <v>385</v>
      </c>
      <c r="E607" s="19" t="s">
        <v>675</v>
      </c>
      <c r="F607" s="30" t="s">
        <v>11</v>
      </c>
      <c r="G607" s="30" t="s">
        <v>42</v>
      </c>
      <c r="H607" s="32">
        <v>-14.9</v>
      </c>
      <c r="I607" s="40">
        <v>0.8</v>
      </c>
      <c r="J607" s="40" t="s">
        <v>188</v>
      </c>
      <c r="K607" s="37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</row>
    <row r="608" ht="22.5" customHeight="1">
      <c r="A608" s="19" t="s">
        <v>1107</v>
      </c>
      <c r="B608" s="21">
        <v>46219.0</v>
      </c>
      <c r="C608" s="30" t="s">
        <v>54</v>
      </c>
      <c r="D608" s="19" t="s">
        <v>385</v>
      </c>
      <c r="E608" s="19" t="s">
        <v>570</v>
      </c>
      <c r="F608" s="30" t="s">
        <v>11</v>
      </c>
      <c r="G608" s="30" t="s">
        <v>42</v>
      </c>
      <c r="H608" s="32">
        <v>-17.3</v>
      </c>
      <c r="I608" s="40">
        <v>1.75</v>
      </c>
      <c r="J608" s="40" t="s">
        <v>188</v>
      </c>
      <c r="K608" s="37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</row>
    <row r="609" ht="22.5" customHeight="1">
      <c r="A609" s="19" t="s">
        <v>1108</v>
      </c>
      <c r="B609" s="21">
        <v>46219.0</v>
      </c>
      <c r="C609" s="30" t="s">
        <v>54</v>
      </c>
      <c r="D609" s="19" t="s">
        <v>385</v>
      </c>
      <c r="E609" s="19" t="s">
        <v>490</v>
      </c>
      <c r="F609" s="30" t="s">
        <v>11</v>
      </c>
      <c r="G609" s="30" t="s">
        <v>42</v>
      </c>
      <c r="H609" s="32">
        <v>-4.1</v>
      </c>
      <c r="I609" s="40">
        <v>0.9</v>
      </c>
      <c r="J609" s="40" t="s">
        <v>188</v>
      </c>
      <c r="K609" s="37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</row>
    <row r="610" ht="22.5" customHeight="1">
      <c r="A610" s="19" t="s">
        <v>1109</v>
      </c>
      <c r="B610" s="21">
        <v>46220.0</v>
      </c>
      <c r="C610" s="30" t="s">
        <v>54</v>
      </c>
      <c r="D610" s="19" t="s">
        <v>321</v>
      </c>
      <c r="E610" s="19" t="s">
        <v>321</v>
      </c>
      <c r="F610" s="30" t="s">
        <v>103</v>
      </c>
      <c r="G610" s="30" t="s">
        <v>105</v>
      </c>
      <c r="H610" s="32">
        <v>679.54</v>
      </c>
      <c r="I610" s="35"/>
      <c r="J610" s="35"/>
      <c r="K610" s="37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</row>
    <row r="611" ht="22.5" customHeight="1">
      <c r="A611" s="19" t="s">
        <v>1110</v>
      </c>
      <c r="B611" s="21">
        <v>46220.0</v>
      </c>
      <c r="C611" s="30" t="s">
        <v>34</v>
      </c>
      <c r="D611" s="19" t="s">
        <v>321</v>
      </c>
      <c r="E611" s="19" t="s">
        <v>321</v>
      </c>
      <c r="F611" s="30" t="s">
        <v>103</v>
      </c>
      <c r="G611" s="30" t="s">
        <v>279</v>
      </c>
      <c r="H611" s="32">
        <v>-679.54</v>
      </c>
      <c r="I611" s="35"/>
      <c r="J611" s="35"/>
      <c r="K611" s="37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</row>
    <row r="612" ht="22.5" customHeight="1">
      <c r="A612" s="19" t="s">
        <v>1111</v>
      </c>
      <c r="B612" s="21">
        <v>46220.0</v>
      </c>
      <c r="C612" s="30" t="s">
        <v>34</v>
      </c>
      <c r="D612" s="19" t="s">
        <v>69</v>
      </c>
      <c r="E612" s="19" t="s">
        <v>70</v>
      </c>
      <c r="F612" s="30" t="s">
        <v>6</v>
      </c>
      <c r="G612" s="30" t="s">
        <v>70</v>
      </c>
      <c r="H612" s="32">
        <v>2010.98</v>
      </c>
      <c r="I612" s="35"/>
      <c r="J612" s="35"/>
      <c r="K612" s="37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</row>
    <row r="613" ht="22.5" customHeight="1">
      <c r="A613" s="19" t="s">
        <v>1112</v>
      </c>
      <c r="B613" s="21">
        <v>46220.0</v>
      </c>
      <c r="C613" s="30" t="s">
        <v>34</v>
      </c>
      <c r="D613" s="19" t="s">
        <v>78</v>
      </c>
      <c r="E613" s="19" t="s">
        <v>70</v>
      </c>
      <c r="F613" s="30" t="s">
        <v>6</v>
      </c>
      <c r="G613" s="30" t="s">
        <v>70</v>
      </c>
      <c r="H613" s="32">
        <v>1560.23</v>
      </c>
      <c r="I613" s="35"/>
      <c r="J613" s="35"/>
      <c r="K613" s="37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</row>
    <row r="614" ht="22.5" customHeight="1">
      <c r="A614" s="19" t="s">
        <v>1113</v>
      </c>
      <c r="B614" s="21">
        <v>46220.0</v>
      </c>
      <c r="C614" s="30" t="s">
        <v>134</v>
      </c>
      <c r="D614" s="19" t="s">
        <v>589</v>
      </c>
      <c r="E614" s="19" t="s">
        <v>1114</v>
      </c>
      <c r="F614" s="30" t="s">
        <v>51</v>
      </c>
      <c r="G614" s="30" t="s">
        <v>283</v>
      </c>
      <c r="H614" s="32">
        <v>-18.9</v>
      </c>
      <c r="I614" s="35"/>
      <c r="J614" s="35"/>
      <c r="K614" s="37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</row>
    <row r="615" ht="22.5" customHeight="1">
      <c r="A615" s="19" t="s">
        <v>1115</v>
      </c>
      <c r="B615" s="21">
        <v>46221.0</v>
      </c>
      <c r="C615" s="30" t="s">
        <v>54</v>
      </c>
      <c r="D615" s="19" t="s">
        <v>523</v>
      </c>
      <c r="E615" s="19" t="s">
        <v>1116</v>
      </c>
      <c r="F615" s="30" t="s">
        <v>35</v>
      </c>
      <c r="G615" s="30" t="s">
        <v>251</v>
      </c>
      <c r="H615" s="32">
        <v>-128.4</v>
      </c>
      <c r="I615" s="35"/>
      <c r="J615" s="35"/>
      <c r="K615" s="37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</row>
    <row r="616" ht="22.5" customHeight="1">
      <c r="A616" s="19" t="s">
        <v>1117</v>
      </c>
      <c r="B616" s="21">
        <v>46222.0</v>
      </c>
      <c r="C616" s="30" t="s">
        <v>54</v>
      </c>
      <c r="D616" s="19" t="s">
        <v>378</v>
      </c>
      <c r="E616" s="19" t="s">
        <v>1118</v>
      </c>
      <c r="F616" s="30" t="s">
        <v>35</v>
      </c>
      <c r="G616" s="30" t="s">
        <v>303</v>
      </c>
      <c r="H616" s="32">
        <v>-92.4</v>
      </c>
      <c r="I616" s="35"/>
      <c r="J616" s="35"/>
      <c r="K616" s="37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</row>
    <row r="617" ht="22.5" customHeight="1">
      <c r="A617" s="19" t="s">
        <v>1119</v>
      </c>
      <c r="B617" s="21">
        <v>46222.0</v>
      </c>
      <c r="C617" s="30" t="s">
        <v>54</v>
      </c>
      <c r="D617" s="19" t="s">
        <v>669</v>
      </c>
      <c r="E617" s="19" t="s">
        <v>1120</v>
      </c>
      <c r="F617" s="30" t="s">
        <v>35</v>
      </c>
      <c r="G617" s="30" t="s">
        <v>303</v>
      </c>
      <c r="H617" s="32">
        <v>-95.0</v>
      </c>
      <c r="I617" s="35"/>
      <c r="J617" s="35"/>
      <c r="K617" s="37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</row>
    <row r="618" ht="22.5" customHeight="1">
      <c r="A618" s="19" t="s">
        <v>1121</v>
      </c>
      <c r="B618" s="21">
        <v>46223.0</v>
      </c>
      <c r="C618" s="30" t="s">
        <v>54</v>
      </c>
      <c r="D618" s="19" t="s">
        <v>158</v>
      </c>
      <c r="E618" s="19" t="s">
        <v>1122</v>
      </c>
      <c r="F618" s="30" t="s">
        <v>61</v>
      </c>
      <c r="G618" s="30" t="s">
        <v>278</v>
      </c>
      <c r="H618" s="32">
        <v>-18.99</v>
      </c>
      <c r="I618" s="35"/>
      <c r="J618" s="35"/>
      <c r="K618" s="37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</row>
    <row r="619" ht="22.5" customHeight="1">
      <c r="A619" s="19" t="s">
        <v>1123</v>
      </c>
      <c r="B619" s="21">
        <v>46226.0</v>
      </c>
      <c r="C619" s="30" t="s">
        <v>54</v>
      </c>
      <c r="D619" s="19" t="s">
        <v>164</v>
      </c>
      <c r="E619" s="19" t="s">
        <v>206</v>
      </c>
      <c r="F619" s="30" t="s">
        <v>11</v>
      </c>
      <c r="G619" s="30" t="s">
        <v>42</v>
      </c>
      <c r="H619" s="32">
        <v>-5.65</v>
      </c>
      <c r="I619" s="40">
        <v>2.0</v>
      </c>
      <c r="J619" s="40" t="s">
        <v>170</v>
      </c>
      <c r="K619" s="37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</row>
    <row r="620" ht="22.5" customHeight="1">
      <c r="A620" s="19" t="s">
        <v>1124</v>
      </c>
      <c r="B620" s="21">
        <v>46226.0</v>
      </c>
      <c r="C620" s="30" t="s">
        <v>54</v>
      </c>
      <c r="D620" s="19" t="s">
        <v>164</v>
      </c>
      <c r="E620" s="19" t="s">
        <v>389</v>
      </c>
      <c r="F620" s="30" t="s">
        <v>11</v>
      </c>
      <c r="G620" s="30" t="s">
        <v>42</v>
      </c>
      <c r="H620" s="32">
        <v>-1.74</v>
      </c>
      <c r="I620" s="40">
        <v>3.0</v>
      </c>
      <c r="J620" s="40" t="s">
        <v>310</v>
      </c>
      <c r="K620" s="37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</row>
    <row r="621" ht="22.5" customHeight="1">
      <c r="A621" s="19" t="s">
        <v>1125</v>
      </c>
      <c r="B621" s="21">
        <v>46226.0</v>
      </c>
      <c r="C621" s="30" t="s">
        <v>54</v>
      </c>
      <c r="D621" s="19" t="s">
        <v>164</v>
      </c>
      <c r="E621" s="19" t="s">
        <v>200</v>
      </c>
      <c r="F621" s="30" t="s">
        <v>11</v>
      </c>
      <c r="G621" s="30" t="s">
        <v>42</v>
      </c>
      <c r="H621" s="32">
        <v>-1.35</v>
      </c>
      <c r="I621" s="40">
        <v>3.0</v>
      </c>
      <c r="J621" s="40" t="s">
        <v>201</v>
      </c>
      <c r="K621" s="37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</row>
    <row r="622" ht="22.5" customHeight="1">
      <c r="A622" s="19" t="s">
        <v>1126</v>
      </c>
      <c r="B622" s="21">
        <v>46226.0</v>
      </c>
      <c r="C622" s="30" t="s">
        <v>54</v>
      </c>
      <c r="D622" s="19" t="s">
        <v>164</v>
      </c>
      <c r="E622" s="19" t="s">
        <v>700</v>
      </c>
      <c r="F622" s="30" t="s">
        <v>11</v>
      </c>
      <c r="G622" s="30" t="s">
        <v>42</v>
      </c>
      <c r="H622" s="32">
        <v>-10.4</v>
      </c>
      <c r="I622" s="40">
        <v>1.0</v>
      </c>
      <c r="J622" s="40" t="s">
        <v>188</v>
      </c>
      <c r="K622" s="37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</row>
    <row r="623" ht="22.5" customHeight="1">
      <c r="A623" s="19" t="s">
        <v>1127</v>
      </c>
      <c r="B623" s="21">
        <v>46226.0</v>
      </c>
      <c r="C623" s="30" t="s">
        <v>54</v>
      </c>
      <c r="D623" s="19" t="s">
        <v>164</v>
      </c>
      <c r="E623" s="19" t="s">
        <v>237</v>
      </c>
      <c r="F623" s="30" t="s">
        <v>11</v>
      </c>
      <c r="G623" s="30" t="s">
        <v>42</v>
      </c>
      <c r="H623" s="32">
        <v>-5.98</v>
      </c>
      <c r="I623" s="40">
        <v>1.8</v>
      </c>
      <c r="J623" s="40" t="s">
        <v>188</v>
      </c>
      <c r="K623" s="37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</row>
    <row r="624" ht="22.5" customHeight="1">
      <c r="A624" s="19" t="s">
        <v>1128</v>
      </c>
      <c r="B624" s="21">
        <v>46226.0</v>
      </c>
      <c r="C624" s="30" t="s">
        <v>54</v>
      </c>
      <c r="D624" s="19" t="s">
        <v>164</v>
      </c>
      <c r="E624" s="19" t="s">
        <v>245</v>
      </c>
      <c r="F624" s="30" t="s">
        <v>11</v>
      </c>
      <c r="G624" s="30" t="s">
        <v>42</v>
      </c>
      <c r="H624" s="32">
        <v>-3.75</v>
      </c>
      <c r="I624" s="40">
        <v>1.3</v>
      </c>
      <c r="J624" s="40" t="s">
        <v>188</v>
      </c>
      <c r="K624" s="37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</row>
    <row r="625" ht="22.5" customHeight="1">
      <c r="A625" s="19" t="s">
        <v>1129</v>
      </c>
      <c r="B625" s="21">
        <v>46226.0</v>
      </c>
      <c r="C625" s="30" t="s">
        <v>134</v>
      </c>
      <c r="D625" s="19" t="s">
        <v>419</v>
      </c>
      <c r="E625" s="19" t="s">
        <v>15</v>
      </c>
      <c r="F625" s="30" t="s">
        <v>11</v>
      </c>
      <c r="G625" s="30" t="s">
        <v>8</v>
      </c>
      <c r="H625" s="32">
        <v>-145.6</v>
      </c>
      <c r="I625" s="35"/>
      <c r="J625" s="35"/>
      <c r="K625" s="37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</row>
    <row r="626" ht="22.5" customHeight="1">
      <c r="A626" s="19" t="s">
        <v>1130</v>
      </c>
      <c r="B626" s="21">
        <v>46226.0</v>
      </c>
      <c r="C626" s="30" t="s">
        <v>54</v>
      </c>
      <c r="D626" s="19" t="s">
        <v>164</v>
      </c>
      <c r="E626" s="19" t="s">
        <v>466</v>
      </c>
      <c r="F626" s="30" t="s">
        <v>11</v>
      </c>
      <c r="G626" s="30" t="s">
        <v>42</v>
      </c>
      <c r="H626" s="32">
        <v>-7.82</v>
      </c>
      <c r="I626" s="40">
        <v>1.6</v>
      </c>
      <c r="J626" s="40" t="s">
        <v>188</v>
      </c>
      <c r="K626" s="37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</row>
    <row r="627" ht="22.5" customHeight="1">
      <c r="A627" s="19" t="s">
        <v>1131</v>
      </c>
      <c r="B627" s="21">
        <v>46226.0</v>
      </c>
      <c r="C627" s="30" t="s">
        <v>54</v>
      </c>
      <c r="D627" s="19" t="s">
        <v>164</v>
      </c>
      <c r="E627" s="19" t="s">
        <v>241</v>
      </c>
      <c r="F627" s="30" t="s">
        <v>11</v>
      </c>
      <c r="G627" s="30" t="s">
        <v>42</v>
      </c>
      <c r="H627" s="32">
        <v>-38.4</v>
      </c>
      <c r="I627" s="40">
        <v>0.7</v>
      </c>
      <c r="J627" s="40" t="s">
        <v>188</v>
      </c>
      <c r="K627" s="37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</row>
    <row r="628" ht="22.5" customHeight="1">
      <c r="A628" s="19" t="s">
        <v>1132</v>
      </c>
      <c r="B628" s="21">
        <v>46226.0</v>
      </c>
      <c r="C628" s="30" t="s">
        <v>54</v>
      </c>
      <c r="D628" s="19" t="s">
        <v>164</v>
      </c>
      <c r="E628" s="19" t="s">
        <v>539</v>
      </c>
      <c r="F628" s="30" t="s">
        <v>11</v>
      </c>
      <c r="G628" s="30" t="s">
        <v>48</v>
      </c>
      <c r="H628" s="32">
        <v>-6.1</v>
      </c>
      <c r="I628" s="35"/>
      <c r="J628" s="35"/>
      <c r="K628" s="37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</row>
    <row r="629" ht="22.5" customHeight="1">
      <c r="A629" s="19" t="s">
        <v>1133</v>
      </c>
      <c r="B629" s="21">
        <v>46226.0</v>
      </c>
      <c r="C629" s="30" t="s">
        <v>54</v>
      </c>
      <c r="D629" s="19" t="s">
        <v>164</v>
      </c>
      <c r="E629" s="19" t="s">
        <v>169</v>
      </c>
      <c r="F629" s="30" t="s">
        <v>11</v>
      </c>
      <c r="G629" s="30" t="s">
        <v>42</v>
      </c>
      <c r="H629" s="32">
        <v>-6.66</v>
      </c>
      <c r="I629" s="40">
        <v>2.0</v>
      </c>
      <c r="J629" s="40" t="s">
        <v>170</v>
      </c>
      <c r="K629" s="37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</row>
    <row r="630" ht="22.5" customHeight="1">
      <c r="A630" s="19" t="s">
        <v>1134</v>
      </c>
      <c r="B630" s="21">
        <v>46227.0</v>
      </c>
      <c r="C630" s="30" t="s">
        <v>34</v>
      </c>
      <c r="D630" s="19" t="s">
        <v>321</v>
      </c>
      <c r="E630" s="19" t="s">
        <v>321</v>
      </c>
      <c r="F630" s="30" t="s">
        <v>103</v>
      </c>
      <c r="G630" s="30" t="s">
        <v>279</v>
      </c>
      <c r="H630" s="32">
        <v>-422.64</v>
      </c>
      <c r="I630" s="35"/>
      <c r="J630" s="35"/>
      <c r="K630" s="37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</row>
    <row r="631" ht="22.5" customHeight="1">
      <c r="A631" s="19" t="s">
        <v>1135</v>
      </c>
      <c r="B631" s="21">
        <v>46227.0</v>
      </c>
      <c r="C631" s="30" t="s">
        <v>54</v>
      </c>
      <c r="D631" s="19" t="s">
        <v>321</v>
      </c>
      <c r="E631" s="19" t="s">
        <v>321</v>
      </c>
      <c r="F631" s="30" t="s">
        <v>103</v>
      </c>
      <c r="G631" s="30" t="s">
        <v>105</v>
      </c>
      <c r="H631" s="32">
        <v>422.64</v>
      </c>
      <c r="I631" s="35"/>
      <c r="J631" s="35"/>
      <c r="K631" s="37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</row>
    <row r="632" ht="22.5" customHeight="1">
      <c r="A632" s="19" t="s">
        <v>1136</v>
      </c>
      <c r="B632" s="21">
        <v>46227.0</v>
      </c>
      <c r="C632" s="30" t="s">
        <v>134</v>
      </c>
      <c r="D632" s="19" t="s">
        <v>382</v>
      </c>
      <c r="E632" s="19" t="s">
        <v>1137</v>
      </c>
      <c r="F632" s="30" t="s">
        <v>51</v>
      </c>
      <c r="G632" s="30" t="s">
        <v>271</v>
      </c>
      <c r="H632" s="32">
        <v>-49.9</v>
      </c>
      <c r="I632" s="35"/>
      <c r="J632" s="35"/>
      <c r="K632" s="37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</row>
    <row r="633" ht="22.5" customHeight="1">
      <c r="A633" s="19" t="s">
        <v>1138</v>
      </c>
      <c r="B633" s="21">
        <v>46228.0</v>
      </c>
      <c r="C633" s="30" t="s">
        <v>54</v>
      </c>
      <c r="D633" s="19" t="s">
        <v>580</v>
      </c>
      <c r="E633" s="19" t="s">
        <v>581</v>
      </c>
      <c r="F633" s="30" t="s">
        <v>35</v>
      </c>
      <c r="G633" s="30" t="s">
        <v>251</v>
      </c>
      <c r="H633" s="32">
        <v>-49.9</v>
      </c>
      <c r="I633" s="35"/>
      <c r="J633" s="35"/>
      <c r="K633" s="37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</row>
    <row r="634" ht="22.5" customHeight="1">
      <c r="A634" s="19" t="s">
        <v>1139</v>
      </c>
      <c r="B634" s="21">
        <v>46230.0</v>
      </c>
      <c r="C634" s="30" t="s">
        <v>54</v>
      </c>
      <c r="D634" s="19" t="s">
        <v>425</v>
      </c>
      <c r="E634" s="19" t="s">
        <v>1140</v>
      </c>
      <c r="F634" s="30" t="s">
        <v>44</v>
      </c>
      <c r="G634" s="30" t="s">
        <v>277</v>
      </c>
      <c r="H634" s="32">
        <v>-19.5</v>
      </c>
      <c r="I634" s="35"/>
      <c r="J634" s="35"/>
      <c r="K634" s="37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</row>
    <row r="635" ht="22.5" customHeight="1">
      <c r="A635" s="19" t="s">
        <v>1141</v>
      </c>
      <c r="B635" s="21">
        <v>46232.0</v>
      </c>
      <c r="C635" s="30" t="s">
        <v>54</v>
      </c>
      <c r="D635" s="19" t="s">
        <v>429</v>
      </c>
      <c r="E635" s="19" t="s">
        <v>335</v>
      </c>
      <c r="F635" s="30" t="s">
        <v>35</v>
      </c>
      <c r="G635" s="30" t="s">
        <v>294</v>
      </c>
      <c r="H635" s="32">
        <v>-4.47</v>
      </c>
      <c r="I635" s="35"/>
      <c r="J635" s="35"/>
      <c r="K635" s="37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</row>
    <row r="636" ht="22.5" customHeight="1">
      <c r="A636" s="19" t="s">
        <v>1142</v>
      </c>
      <c r="B636" s="21">
        <v>46233.0</v>
      </c>
      <c r="C636" s="30" t="s">
        <v>54</v>
      </c>
      <c r="D636" s="19" t="s">
        <v>385</v>
      </c>
      <c r="E636" s="19" t="s">
        <v>337</v>
      </c>
      <c r="F636" s="30" t="s">
        <v>11</v>
      </c>
      <c r="G636" s="30" t="s">
        <v>42</v>
      </c>
      <c r="H636" s="32">
        <v>-3.55</v>
      </c>
      <c r="I636" s="40">
        <v>1.36</v>
      </c>
      <c r="J636" s="40" t="s">
        <v>188</v>
      </c>
      <c r="K636" s="37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</row>
    <row r="637" ht="22.5" customHeight="1">
      <c r="A637" s="19" t="s">
        <v>1143</v>
      </c>
      <c r="B637" s="21">
        <v>46233.0</v>
      </c>
      <c r="C637" s="30" t="s">
        <v>54</v>
      </c>
      <c r="D637" s="19" t="s">
        <v>385</v>
      </c>
      <c r="E637" s="19" t="s">
        <v>309</v>
      </c>
      <c r="F637" s="30" t="s">
        <v>11</v>
      </c>
      <c r="G637" s="30" t="s">
        <v>42</v>
      </c>
      <c r="H637" s="32">
        <v>-5.1</v>
      </c>
      <c r="I637" s="40">
        <v>2.0</v>
      </c>
      <c r="J637" s="40" t="s">
        <v>310</v>
      </c>
      <c r="K637" s="37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</row>
    <row r="638" ht="22.5" customHeight="1">
      <c r="A638" s="19" t="s">
        <v>1144</v>
      </c>
      <c r="B638" s="21">
        <v>46233.0</v>
      </c>
      <c r="C638" s="30" t="s">
        <v>54</v>
      </c>
      <c r="D638" s="19" t="s">
        <v>385</v>
      </c>
      <c r="E638" s="19" t="s">
        <v>414</v>
      </c>
      <c r="F638" s="30" t="s">
        <v>11</v>
      </c>
      <c r="G638" s="30" t="s">
        <v>42</v>
      </c>
      <c r="H638" s="32">
        <v>-5.7</v>
      </c>
      <c r="I638" s="40">
        <v>2.27</v>
      </c>
      <c r="J638" s="40" t="s">
        <v>188</v>
      </c>
      <c r="K638" s="37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</row>
    <row r="639" ht="22.5" customHeight="1">
      <c r="A639" s="19" t="s">
        <v>1145</v>
      </c>
      <c r="B639" s="21">
        <v>46233.0</v>
      </c>
      <c r="C639" s="30" t="s">
        <v>54</v>
      </c>
      <c r="D639" s="19" t="s">
        <v>385</v>
      </c>
      <c r="E639" s="19" t="s">
        <v>541</v>
      </c>
      <c r="F639" s="30" t="s">
        <v>11</v>
      </c>
      <c r="G639" s="30" t="s">
        <v>42</v>
      </c>
      <c r="H639" s="32">
        <v>-2.65</v>
      </c>
      <c r="I639" s="40">
        <v>1.2</v>
      </c>
      <c r="J639" s="40" t="s">
        <v>188</v>
      </c>
      <c r="K639" s="37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</row>
    <row r="640" ht="22.5" customHeight="1">
      <c r="A640" s="19" t="s">
        <v>1146</v>
      </c>
      <c r="B640" s="21">
        <v>46233.0</v>
      </c>
      <c r="C640" s="30" t="s">
        <v>54</v>
      </c>
      <c r="D640" s="19" t="s">
        <v>385</v>
      </c>
      <c r="E640" s="19" t="s">
        <v>398</v>
      </c>
      <c r="F640" s="30" t="s">
        <v>11</v>
      </c>
      <c r="G640" s="30" t="s">
        <v>42</v>
      </c>
      <c r="H640" s="32">
        <v>-2.65</v>
      </c>
      <c r="I640" s="40">
        <v>2.0</v>
      </c>
      <c r="J640" s="40" t="s">
        <v>399</v>
      </c>
      <c r="K640" s="37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</row>
    <row r="641" ht="22.5" customHeight="1">
      <c r="A641" s="19" t="s">
        <v>1147</v>
      </c>
      <c r="B641" s="21">
        <v>46233.0</v>
      </c>
      <c r="C641" s="30" t="s">
        <v>54</v>
      </c>
      <c r="D641" s="19" t="s">
        <v>607</v>
      </c>
      <c r="E641" s="19" t="s">
        <v>822</v>
      </c>
      <c r="F641" s="30" t="s">
        <v>11</v>
      </c>
      <c r="G641" s="30" t="s">
        <v>42</v>
      </c>
      <c r="H641" s="32">
        <v>-21.9</v>
      </c>
      <c r="I641" s="40">
        <v>0.75</v>
      </c>
      <c r="J641" s="40" t="s">
        <v>166</v>
      </c>
      <c r="K641" s="37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</row>
    <row r="642" ht="22.5" customHeight="1">
      <c r="A642" s="19" t="s">
        <v>1148</v>
      </c>
      <c r="B642" s="21">
        <v>46234.0</v>
      </c>
      <c r="C642" s="30" t="s">
        <v>52</v>
      </c>
      <c r="D642" s="19" t="s">
        <v>331</v>
      </c>
      <c r="E642" s="19" t="s">
        <v>469</v>
      </c>
      <c r="F642" s="30" t="s">
        <v>6</v>
      </c>
      <c r="G642" s="30" t="s">
        <v>280</v>
      </c>
      <c r="H642" s="32">
        <v>68.1</v>
      </c>
      <c r="I642" s="35"/>
      <c r="J642" s="35"/>
      <c r="K642" s="37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</row>
    <row r="643" ht="22.5" customHeight="1">
      <c r="A643" s="19" t="s">
        <v>1149</v>
      </c>
      <c r="B643" s="21">
        <v>46234.0</v>
      </c>
      <c r="C643" s="30" t="s">
        <v>145</v>
      </c>
      <c r="D643" s="19" t="s">
        <v>331</v>
      </c>
      <c r="E643" s="19" t="s">
        <v>285</v>
      </c>
      <c r="F643" s="30" t="s">
        <v>6</v>
      </c>
      <c r="G643" s="30" t="s">
        <v>285</v>
      </c>
      <c r="H643" s="32">
        <v>5.49</v>
      </c>
      <c r="I643" s="35"/>
      <c r="J643" s="35"/>
      <c r="K643" s="37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</row>
    <row r="644" ht="22.5" customHeight="1">
      <c r="A644" s="19" t="s">
        <v>1150</v>
      </c>
      <c r="B644" s="21">
        <v>46234.0</v>
      </c>
      <c r="C644" s="30" t="s">
        <v>34</v>
      </c>
      <c r="D644" s="19" t="s">
        <v>78</v>
      </c>
      <c r="E644" s="19" t="s">
        <v>70</v>
      </c>
      <c r="F644" s="30" t="s">
        <v>6</v>
      </c>
      <c r="G644" s="30" t="s">
        <v>70</v>
      </c>
      <c r="H644" s="32">
        <v>1560.23</v>
      </c>
      <c r="I644" s="35"/>
      <c r="J644" s="35"/>
      <c r="K644" s="37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</row>
    <row r="645" ht="22.5" customHeight="1">
      <c r="A645" s="19" t="s">
        <v>1151</v>
      </c>
      <c r="B645" s="21">
        <v>46234.0</v>
      </c>
      <c r="C645" s="30" t="s">
        <v>34</v>
      </c>
      <c r="D645" s="19" t="s">
        <v>69</v>
      </c>
      <c r="E645" s="19" t="s">
        <v>70</v>
      </c>
      <c r="F645" s="30" t="s">
        <v>6</v>
      </c>
      <c r="G645" s="30" t="s">
        <v>70</v>
      </c>
      <c r="H645" s="32">
        <v>2010.98</v>
      </c>
      <c r="I645" s="35"/>
      <c r="J645" s="35"/>
      <c r="K645" s="37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</row>
    <row r="646" ht="22.5" customHeight="1">
      <c r="A646" s="19" t="s">
        <v>1152</v>
      </c>
      <c r="B646" s="21">
        <v>46234.0</v>
      </c>
      <c r="C646" s="30" t="s">
        <v>52</v>
      </c>
      <c r="D646" s="19" t="s">
        <v>456</v>
      </c>
      <c r="E646" s="19" t="s">
        <v>456</v>
      </c>
      <c r="F646" s="30" t="s">
        <v>103</v>
      </c>
      <c r="G646" s="30" t="s">
        <v>105</v>
      </c>
      <c r="H646" s="32">
        <v>3904.42</v>
      </c>
      <c r="I646" s="35"/>
      <c r="J646" s="35"/>
      <c r="K646" s="37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</row>
    <row r="647" ht="22.5" customHeight="1">
      <c r="A647" s="19" t="s">
        <v>1153</v>
      </c>
      <c r="B647" s="21">
        <v>46234.0</v>
      </c>
      <c r="C647" s="30" t="s">
        <v>34</v>
      </c>
      <c r="D647" s="19" t="s">
        <v>456</v>
      </c>
      <c r="E647" s="19" t="s">
        <v>456</v>
      </c>
      <c r="F647" s="30" t="s">
        <v>17</v>
      </c>
      <c r="G647" s="30" t="s">
        <v>297</v>
      </c>
      <c r="H647" s="32">
        <v>-3904.42</v>
      </c>
      <c r="I647" s="35"/>
      <c r="J647" s="35"/>
      <c r="K647" s="37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</row>
    <row r="648" ht="22.5" customHeight="1">
      <c r="A648" s="19" t="s">
        <v>1154</v>
      </c>
      <c r="B648" s="21">
        <v>46234.0</v>
      </c>
      <c r="C648" s="30" t="s">
        <v>34</v>
      </c>
      <c r="D648" s="19" t="s">
        <v>321</v>
      </c>
      <c r="E648" s="19" t="s">
        <v>321</v>
      </c>
      <c r="F648" s="30" t="s">
        <v>103</v>
      </c>
      <c r="G648" s="30" t="s">
        <v>279</v>
      </c>
      <c r="H648" s="32">
        <v>-115.42</v>
      </c>
      <c r="I648" s="35"/>
      <c r="J648" s="35"/>
      <c r="K648" s="37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</row>
    <row r="649" ht="22.5" customHeight="1">
      <c r="A649" s="19" t="s">
        <v>1155</v>
      </c>
      <c r="B649" s="21">
        <v>46234.0</v>
      </c>
      <c r="C649" s="30" t="s">
        <v>54</v>
      </c>
      <c r="D649" s="19" t="s">
        <v>321</v>
      </c>
      <c r="E649" s="19" t="s">
        <v>321</v>
      </c>
      <c r="F649" s="30" t="s">
        <v>103</v>
      </c>
      <c r="G649" s="30" t="s">
        <v>105</v>
      </c>
      <c r="H649" s="32">
        <v>115.42</v>
      </c>
      <c r="I649" s="35"/>
      <c r="J649" s="35"/>
      <c r="K649" s="37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</row>
    <row r="650" ht="22.5" customHeight="1">
      <c r="A650" s="19" t="s">
        <v>1156</v>
      </c>
      <c r="B650" s="21">
        <v>46234.0</v>
      </c>
      <c r="C650" s="30" t="s">
        <v>34</v>
      </c>
      <c r="D650" s="19" t="s">
        <v>321</v>
      </c>
      <c r="E650" s="19" t="s">
        <v>321</v>
      </c>
      <c r="F650" s="30" t="s">
        <v>103</v>
      </c>
      <c r="G650" s="30" t="s">
        <v>279</v>
      </c>
      <c r="H650" s="32">
        <v>-386.11</v>
      </c>
      <c r="I650" s="35"/>
      <c r="J650" s="35"/>
      <c r="K650" s="37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</row>
    <row r="651" ht="22.5" customHeight="1">
      <c r="A651" s="19" t="s">
        <v>1157</v>
      </c>
      <c r="B651" s="21">
        <v>46234.0</v>
      </c>
      <c r="C651" s="30" t="s">
        <v>134</v>
      </c>
      <c r="D651" s="19" t="s">
        <v>321</v>
      </c>
      <c r="E651" s="19" t="s">
        <v>321</v>
      </c>
      <c r="F651" s="30" t="s">
        <v>103</v>
      </c>
      <c r="G651" s="30" t="s">
        <v>105</v>
      </c>
      <c r="H651" s="32">
        <v>386.11</v>
      </c>
      <c r="I651" s="35"/>
      <c r="J651" s="35"/>
      <c r="K651" s="37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</row>
    <row r="652" ht="22.5" customHeight="1">
      <c r="A652" s="19" t="s">
        <v>1158</v>
      </c>
      <c r="B652" s="21">
        <v>46235.0</v>
      </c>
      <c r="C652" s="30" t="s">
        <v>54</v>
      </c>
      <c r="D652" s="19" t="s">
        <v>147</v>
      </c>
      <c r="E652" s="19" t="s">
        <v>148</v>
      </c>
      <c r="F652" s="30" t="s">
        <v>11</v>
      </c>
      <c r="G652" s="30" t="s">
        <v>62</v>
      </c>
      <c r="H652" s="32">
        <v>-160.0</v>
      </c>
      <c r="I652" s="35"/>
      <c r="J652" s="35"/>
      <c r="K652" s="37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</row>
    <row r="653" ht="22.5" customHeight="1">
      <c r="A653" s="19" t="s">
        <v>1159</v>
      </c>
      <c r="B653" s="21">
        <v>46235.0</v>
      </c>
      <c r="C653" s="30" t="s">
        <v>34</v>
      </c>
      <c r="D653" s="19" t="s">
        <v>37</v>
      </c>
      <c r="E653" s="19" t="s">
        <v>9</v>
      </c>
      <c r="F653" s="30" t="s">
        <v>11</v>
      </c>
      <c r="G653" s="30" t="s">
        <v>8</v>
      </c>
      <c r="H653" s="32">
        <v>-2300.0</v>
      </c>
      <c r="I653" s="35"/>
      <c r="J653" s="35"/>
      <c r="K653" s="37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</row>
    <row r="654" ht="22.5" customHeight="1">
      <c r="A654" s="19" t="s">
        <v>1160</v>
      </c>
      <c r="B654" s="21">
        <v>46235.0</v>
      </c>
      <c r="C654" s="30" t="s">
        <v>134</v>
      </c>
      <c r="D654" s="19" t="s">
        <v>56</v>
      </c>
      <c r="E654" s="19" t="s">
        <v>33</v>
      </c>
      <c r="F654" s="30" t="s">
        <v>11</v>
      </c>
      <c r="G654" s="30" t="s">
        <v>8</v>
      </c>
      <c r="H654" s="32">
        <v>-24.51</v>
      </c>
      <c r="I654" s="35"/>
      <c r="J654" s="35"/>
      <c r="K654" s="37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</row>
    <row r="655" ht="22.5" customHeight="1">
      <c r="A655" s="19" t="s">
        <v>1161</v>
      </c>
      <c r="B655" s="21">
        <v>46235.0</v>
      </c>
      <c r="C655" s="30" t="s">
        <v>134</v>
      </c>
      <c r="D655" s="19" t="s">
        <v>147</v>
      </c>
      <c r="E655" s="19" t="s">
        <v>148</v>
      </c>
      <c r="F655" s="30" t="s">
        <v>11</v>
      </c>
      <c r="G655" s="30" t="s">
        <v>62</v>
      </c>
      <c r="H655" s="32">
        <v>-80.0</v>
      </c>
      <c r="I655" s="35"/>
      <c r="J655" s="35"/>
      <c r="K655" s="37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</row>
    <row r="656" ht="22.5" customHeight="1">
      <c r="A656" s="19" t="s">
        <v>1162</v>
      </c>
      <c r="B656" s="21">
        <v>46235.0</v>
      </c>
      <c r="C656" s="30" t="s">
        <v>54</v>
      </c>
      <c r="D656" s="19" t="s">
        <v>651</v>
      </c>
      <c r="E656" s="19" t="s">
        <v>652</v>
      </c>
      <c r="F656" s="30" t="s">
        <v>35</v>
      </c>
      <c r="G656" s="30" t="s">
        <v>251</v>
      </c>
      <c r="H656" s="32">
        <v>-63.2</v>
      </c>
      <c r="I656" s="35"/>
      <c r="J656" s="35"/>
      <c r="K656" s="37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</row>
    <row r="657" ht="22.5" customHeight="1">
      <c r="A657" s="19" t="s">
        <v>1163</v>
      </c>
      <c r="B657" s="21">
        <v>46237.0</v>
      </c>
      <c r="C657" s="30" t="s">
        <v>54</v>
      </c>
      <c r="D657" s="19" t="s">
        <v>164</v>
      </c>
      <c r="E657" s="19" t="s">
        <v>562</v>
      </c>
      <c r="F657" s="30" t="s">
        <v>11</v>
      </c>
      <c r="G657" s="30" t="s">
        <v>42</v>
      </c>
      <c r="H657" s="32">
        <v>-14.97</v>
      </c>
      <c r="I657" s="40">
        <v>8.0</v>
      </c>
      <c r="J657" s="40" t="s">
        <v>563</v>
      </c>
      <c r="K657" s="37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</row>
    <row r="658" ht="22.5" customHeight="1">
      <c r="A658" s="19" t="s">
        <v>1164</v>
      </c>
      <c r="B658" s="21">
        <v>46237.0</v>
      </c>
      <c r="C658" s="30" t="s">
        <v>54</v>
      </c>
      <c r="D658" s="19" t="s">
        <v>164</v>
      </c>
      <c r="E658" s="19" t="s">
        <v>185</v>
      </c>
      <c r="F658" s="30" t="s">
        <v>11</v>
      </c>
      <c r="G658" s="30" t="s">
        <v>42</v>
      </c>
      <c r="H658" s="32">
        <v>-10.5</v>
      </c>
      <c r="I658" s="40">
        <v>1.0</v>
      </c>
      <c r="J658" s="40" t="s">
        <v>188</v>
      </c>
      <c r="K658" s="37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</row>
    <row r="659" ht="22.5" customHeight="1">
      <c r="A659" s="19" t="s">
        <v>1165</v>
      </c>
      <c r="B659" s="21">
        <v>46237.0</v>
      </c>
      <c r="C659" s="30" t="s">
        <v>54</v>
      </c>
      <c r="D659" s="19" t="s">
        <v>164</v>
      </c>
      <c r="E659" s="19" t="s">
        <v>269</v>
      </c>
      <c r="F659" s="30" t="s">
        <v>11</v>
      </c>
      <c r="G659" s="30" t="s">
        <v>42</v>
      </c>
      <c r="H659" s="32">
        <v>-12.5</v>
      </c>
      <c r="I659" s="40">
        <v>2.0</v>
      </c>
      <c r="J659" s="40" t="s">
        <v>201</v>
      </c>
      <c r="K659" s="37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</row>
    <row r="660" ht="22.5" customHeight="1">
      <c r="A660" s="19" t="s">
        <v>1166</v>
      </c>
      <c r="B660" s="21">
        <v>46237.0</v>
      </c>
      <c r="C660" s="30" t="s">
        <v>54</v>
      </c>
      <c r="D660" s="19" t="s">
        <v>164</v>
      </c>
      <c r="E660" s="19" t="s">
        <v>296</v>
      </c>
      <c r="F660" s="30" t="s">
        <v>11</v>
      </c>
      <c r="G660" s="30" t="s">
        <v>42</v>
      </c>
      <c r="H660" s="32">
        <v>-16.2</v>
      </c>
      <c r="I660" s="40">
        <v>1.6</v>
      </c>
      <c r="J660" s="40" t="s">
        <v>188</v>
      </c>
      <c r="K660" s="37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</row>
    <row r="661" ht="22.5" customHeight="1">
      <c r="A661" s="19" t="s">
        <v>1167</v>
      </c>
      <c r="B661" s="21">
        <v>46237.0</v>
      </c>
      <c r="C661" s="30" t="s">
        <v>54</v>
      </c>
      <c r="D661" s="19" t="s">
        <v>164</v>
      </c>
      <c r="E661" s="19" t="s">
        <v>241</v>
      </c>
      <c r="F661" s="30" t="s">
        <v>11</v>
      </c>
      <c r="G661" s="30" t="s">
        <v>42</v>
      </c>
      <c r="H661" s="32">
        <v>-37.9</v>
      </c>
      <c r="I661" s="40">
        <v>0.7</v>
      </c>
      <c r="J661" s="40" t="s">
        <v>188</v>
      </c>
      <c r="K661" s="37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</row>
    <row r="662" ht="22.5" customHeight="1">
      <c r="A662" s="19" t="s">
        <v>1168</v>
      </c>
      <c r="B662" s="21">
        <v>46237.0</v>
      </c>
      <c r="C662" s="30" t="s">
        <v>54</v>
      </c>
      <c r="D662" s="19" t="s">
        <v>164</v>
      </c>
      <c r="E662" s="19" t="s">
        <v>301</v>
      </c>
      <c r="F662" s="30" t="s">
        <v>11</v>
      </c>
      <c r="G662" s="30" t="s">
        <v>42</v>
      </c>
      <c r="H662" s="32">
        <v>-5.6</v>
      </c>
      <c r="I662" s="40">
        <v>1.0</v>
      </c>
      <c r="J662" s="40" t="s">
        <v>304</v>
      </c>
      <c r="K662" s="37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</row>
    <row r="663" ht="22.5" customHeight="1">
      <c r="A663" s="19" t="s">
        <v>1169</v>
      </c>
      <c r="B663" s="21">
        <v>46237.0</v>
      </c>
      <c r="C663" s="30" t="s">
        <v>54</v>
      </c>
      <c r="D663" s="19" t="s">
        <v>164</v>
      </c>
      <c r="E663" s="19" t="s">
        <v>354</v>
      </c>
      <c r="F663" s="30" t="s">
        <v>11</v>
      </c>
      <c r="G663" s="30" t="s">
        <v>42</v>
      </c>
      <c r="H663" s="32">
        <v>-4.35</v>
      </c>
      <c r="I663" s="40">
        <v>12.0</v>
      </c>
      <c r="J663" s="40" t="s">
        <v>355</v>
      </c>
      <c r="K663" s="37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</row>
    <row r="664" ht="22.5" customHeight="1">
      <c r="A664" s="19" t="s">
        <v>1170</v>
      </c>
      <c r="B664" s="21">
        <v>46238.0</v>
      </c>
      <c r="C664" s="30" t="s">
        <v>134</v>
      </c>
      <c r="D664" s="19" t="s">
        <v>258</v>
      </c>
      <c r="E664" s="19" t="s">
        <v>24</v>
      </c>
      <c r="F664" s="30" t="s">
        <v>11</v>
      </c>
      <c r="G664" s="30" t="s">
        <v>8</v>
      </c>
      <c r="H664" s="32">
        <v>-67.2</v>
      </c>
      <c r="I664" s="35"/>
      <c r="J664" s="35"/>
      <c r="K664" s="37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</row>
    <row r="665" ht="22.5" customHeight="1">
      <c r="A665" s="19" t="s">
        <v>1171</v>
      </c>
      <c r="B665" s="21">
        <v>46239.0</v>
      </c>
      <c r="C665" s="30" t="s">
        <v>134</v>
      </c>
      <c r="D665" s="19" t="s">
        <v>253</v>
      </c>
      <c r="E665" s="19" t="s">
        <v>889</v>
      </c>
      <c r="F665" s="30" t="s">
        <v>11</v>
      </c>
      <c r="G665" s="30" t="s">
        <v>66</v>
      </c>
      <c r="H665" s="32">
        <v>-21.99</v>
      </c>
      <c r="I665" s="35"/>
      <c r="J665" s="35"/>
      <c r="K665" s="37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</row>
    <row r="666" ht="22.5" customHeight="1">
      <c r="A666" s="19" t="s">
        <v>1172</v>
      </c>
      <c r="B666" s="21">
        <v>46241.0</v>
      </c>
      <c r="C666" s="30" t="s">
        <v>34</v>
      </c>
      <c r="D666" s="19" t="s">
        <v>321</v>
      </c>
      <c r="E666" s="19" t="s">
        <v>321</v>
      </c>
      <c r="F666" s="30" t="s">
        <v>103</v>
      </c>
      <c r="G666" s="30" t="s">
        <v>279</v>
      </c>
      <c r="H666" s="32">
        <v>-380.22</v>
      </c>
      <c r="I666" s="35"/>
      <c r="J666" s="35"/>
      <c r="K666" s="37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</row>
    <row r="667" ht="22.5" customHeight="1">
      <c r="A667" s="19" t="s">
        <v>1173</v>
      </c>
      <c r="B667" s="21">
        <v>46241.0</v>
      </c>
      <c r="C667" s="30" t="s">
        <v>54</v>
      </c>
      <c r="D667" s="19" t="s">
        <v>321</v>
      </c>
      <c r="E667" s="19" t="s">
        <v>321</v>
      </c>
      <c r="F667" s="30" t="s">
        <v>103</v>
      </c>
      <c r="G667" s="30" t="s">
        <v>105</v>
      </c>
      <c r="H667" s="32">
        <v>380.22</v>
      </c>
      <c r="I667" s="35"/>
      <c r="J667" s="35"/>
      <c r="K667" s="37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</row>
    <row r="668" ht="22.5" customHeight="1">
      <c r="A668" s="19" t="s">
        <v>1174</v>
      </c>
      <c r="B668" s="21">
        <v>46241.0</v>
      </c>
      <c r="C668" s="30" t="s">
        <v>54</v>
      </c>
      <c r="D668" s="19" t="s">
        <v>317</v>
      </c>
      <c r="E668" s="19" t="s">
        <v>1175</v>
      </c>
      <c r="F668" s="30" t="s">
        <v>44</v>
      </c>
      <c r="G668" s="30" t="s">
        <v>283</v>
      </c>
      <c r="H668" s="32">
        <v>-55.0</v>
      </c>
      <c r="I668" s="35"/>
      <c r="J668" s="35"/>
      <c r="K668" s="37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</row>
    <row r="669" ht="22.5" customHeight="1">
      <c r="A669" s="19" t="s">
        <v>1176</v>
      </c>
      <c r="B669" s="21">
        <v>46242.0</v>
      </c>
      <c r="C669" s="30" t="s">
        <v>54</v>
      </c>
      <c r="D669" s="19" t="s">
        <v>891</v>
      </c>
      <c r="E669" s="19" t="s">
        <v>892</v>
      </c>
      <c r="F669" s="30" t="s">
        <v>35</v>
      </c>
      <c r="G669" s="30" t="s">
        <v>251</v>
      </c>
      <c r="H669" s="32">
        <v>-58.9</v>
      </c>
      <c r="I669" s="35"/>
      <c r="J669" s="35"/>
      <c r="K669" s="37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</row>
    <row r="670" ht="22.5" customHeight="1">
      <c r="A670" s="19" t="s">
        <v>1177</v>
      </c>
      <c r="B670" s="21">
        <v>46244.0</v>
      </c>
      <c r="C670" s="30" t="s">
        <v>54</v>
      </c>
      <c r="D670" s="19" t="s">
        <v>475</v>
      </c>
      <c r="E670" s="19" t="s">
        <v>643</v>
      </c>
      <c r="F670" s="30" t="s">
        <v>11</v>
      </c>
      <c r="G670" s="30" t="s">
        <v>42</v>
      </c>
      <c r="H670" s="32">
        <v>-19.4</v>
      </c>
      <c r="I670" s="40">
        <v>1.0</v>
      </c>
      <c r="J670" s="40" t="s">
        <v>188</v>
      </c>
      <c r="K670" s="37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</row>
    <row r="671" ht="22.5" customHeight="1">
      <c r="A671" s="19" t="s">
        <v>1178</v>
      </c>
      <c r="B671" s="21">
        <v>46244.0</v>
      </c>
      <c r="C671" s="30" t="s">
        <v>54</v>
      </c>
      <c r="D671" s="19" t="s">
        <v>475</v>
      </c>
      <c r="E671" s="19" t="s">
        <v>602</v>
      </c>
      <c r="F671" s="30" t="s">
        <v>11</v>
      </c>
      <c r="G671" s="30" t="s">
        <v>42</v>
      </c>
      <c r="H671" s="32">
        <v>-25.6</v>
      </c>
      <c r="I671" s="40">
        <v>1.6</v>
      </c>
      <c r="J671" s="40" t="s">
        <v>188</v>
      </c>
      <c r="K671" s="37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</row>
    <row r="672" ht="22.5" customHeight="1">
      <c r="A672" s="19" t="s">
        <v>1179</v>
      </c>
      <c r="B672" s="21">
        <v>46244.0</v>
      </c>
      <c r="C672" s="30" t="s">
        <v>54</v>
      </c>
      <c r="D672" s="19" t="s">
        <v>475</v>
      </c>
      <c r="E672" s="19" t="s">
        <v>729</v>
      </c>
      <c r="F672" s="30" t="s">
        <v>11</v>
      </c>
      <c r="G672" s="30" t="s">
        <v>42</v>
      </c>
      <c r="H672" s="32">
        <v>-45.1</v>
      </c>
      <c r="I672" s="40">
        <v>1.1</v>
      </c>
      <c r="J672" s="40" t="s">
        <v>188</v>
      </c>
      <c r="K672" s="37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</row>
    <row r="673" ht="22.5" customHeight="1">
      <c r="A673" s="19" t="s">
        <v>1180</v>
      </c>
      <c r="B673" s="21">
        <v>46244.0</v>
      </c>
      <c r="C673" s="30" t="s">
        <v>54</v>
      </c>
      <c r="D673" s="19" t="s">
        <v>475</v>
      </c>
      <c r="E673" s="19" t="s">
        <v>346</v>
      </c>
      <c r="F673" s="30" t="s">
        <v>11</v>
      </c>
      <c r="G673" s="30" t="s">
        <v>42</v>
      </c>
      <c r="H673" s="32">
        <v>-5.15</v>
      </c>
      <c r="I673" s="40">
        <v>1.05</v>
      </c>
      <c r="J673" s="40" t="s">
        <v>188</v>
      </c>
      <c r="K673" s="37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</row>
    <row r="674" ht="22.5" customHeight="1">
      <c r="A674" s="19" t="s">
        <v>1181</v>
      </c>
      <c r="B674" s="21">
        <v>46244.0</v>
      </c>
      <c r="C674" s="30" t="s">
        <v>54</v>
      </c>
      <c r="D674" s="19" t="s">
        <v>475</v>
      </c>
      <c r="E674" s="19" t="s">
        <v>263</v>
      </c>
      <c r="F674" s="30" t="s">
        <v>11</v>
      </c>
      <c r="G674" s="30" t="s">
        <v>42</v>
      </c>
      <c r="H674" s="32">
        <v>-17.6</v>
      </c>
      <c r="I674" s="40">
        <v>1.4</v>
      </c>
      <c r="J674" s="40" t="s">
        <v>188</v>
      </c>
      <c r="K674" s="37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</row>
    <row r="675" ht="22.5" customHeight="1">
      <c r="A675" s="19" t="s">
        <v>1182</v>
      </c>
      <c r="B675" s="21">
        <v>46244.0</v>
      </c>
      <c r="C675" s="30" t="s">
        <v>142</v>
      </c>
      <c r="D675" s="19" t="s">
        <v>331</v>
      </c>
      <c r="E675" s="19" t="s">
        <v>285</v>
      </c>
      <c r="F675" s="30" t="s">
        <v>6</v>
      </c>
      <c r="G675" s="30" t="s">
        <v>285</v>
      </c>
      <c r="H675" s="32">
        <v>16.16</v>
      </c>
      <c r="I675" s="35"/>
      <c r="J675" s="35"/>
      <c r="K675" s="37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</row>
    <row r="676" ht="22.5" customHeight="1">
      <c r="A676" s="19" t="s">
        <v>1183</v>
      </c>
      <c r="B676" s="21">
        <v>46244.0</v>
      </c>
      <c r="C676" s="30" t="s">
        <v>54</v>
      </c>
      <c r="D676" s="19" t="s">
        <v>475</v>
      </c>
      <c r="E676" s="19" t="s">
        <v>391</v>
      </c>
      <c r="F676" s="30" t="s">
        <v>11</v>
      </c>
      <c r="G676" s="30" t="s">
        <v>48</v>
      </c>
      <c r="H676" s="32">
        <v>-1.85</v>
      </c>
      <c r="I676" s="40">
        <v>0.34</v>
      </c>
      <c r="J676" s="40" t="s">
        <v>166</v>
      </c>
      <c r="K676" s="37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</row>
    <row r="677" ht="22.5" customHeight="1">
      <c r="A677" s="19" t="s">
        <v>1184</v>
      </c>
      <c r="B677" s="21">
        <v>46244.0</v>
      </c>
      <c r="C677" s="30" t="s">
        <v>54</v>
      </c>
      <c r="D677" s="19" t="s">
        <v>475</v>
      </c>
      <c r="E677" s="19" t="s">
        <v>213</v>
      </c>
      <c r="F677" s="30" t="s">
        <v>11</v>
      </c>
      <c r="G677" s="30" t="s">
        <v>42</v>
      </c>
      <c r="H677" s="32">
        <v>-26.6</v>
      </c>
      <c r="I677" s="40">
        <v>1.4</v>
      </c>
      <c r="J677" s="40" t="s">
        <v>188</v>
      </c>
      <c r="K677" s="37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</row>
    <row r="678" ht="22.5" customHeight="1">
      <c r="A678" s="19" t="s">
        <v>1185</v>
      </c>
      <c r="B678" s="21">
        <v>46245.0</v>
      </c>
      <c r="C678" s="30" t="s">
        <v>54</v>
      </c>
      <c r="D678" s="19" t="s">
        <v>334</v>
      </c>
      <c r="E678" s="19" t="s">
        <v>335</v>
      </c>
      <c r="F678" s="30" t="s">
        <v>35</v>
      </c>
      <c r="G678" s="30" t="s">
        <v>294</v>
      </c>
      <c r="H678" s="32">
        <v>-20.04</v>
      </c>
      <c r="I678" s="35"/>
      <c r="J678" s="35"/>
      <c r="K678" s="37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</row>
    <row r="679" ht="22.5" customHeight="1">
      <c r="A679" s="19" t="s">
        <v>1186</v>
      </c>
      <c r="B679" s="21">
        <v>46247.0</v>
      </c>
      <c r="C679" s="30" t="s">
        <v>134</v>
      </c>
      <c r="D679" s="19" t="s">
        <v>314</v>
      </c>
      <c r="E679" s="19" t="s">
        <v>1187</v>
      </c>
      <c r="F679" s="30" t="s">
        <v>51</v>
      </c>
      <c r="G679" s="30" t="s">
        <v>283</v>
      </c>
      <c r="H679" s="32">
        <v>-145.0</v>
      </c>
      <c r="I679" s="35"/>
      <c r="J679" s="35"/>
      <c r="K679" s="37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</row>
    <row r="680" ht="22.5" customHeight="1">
      <c r="A680" s="19" t="s">
        <v>1188</v>
      </c>
      <c r="B680" s="21">
        <v>46248.0</v>
      </c>
      <c r="C680" s="30" t="s">
        <v>34</v>
      </c>
      <c r="D680" s="19" t="s">
        <v>69</v>
      </c>
      <c r="E680" s="19" t="s">
        <v>70</v>
      </c>
      <c r="F680" s="30" t="s">
        <v>6</v>
      </c>
      <c r="G680" s="30" t="s">
        <v>70</v>
      </c>
      <c r="H680" s="32">
        <v>2010.98</v>
      </c>
      <c r="I680" s="35"/>
      <c r="J680" s="35"/>
      <c r="K680" s="37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</row>
    <row r="681" ht="22.5" customHeight="1">
      <c r="A681" s="19" t="s">
        <v>1189</v>
      </c>
      <c r="B681" s="21">
        <v>46248.0</v>
      </c>
      <c r="C681" s="30" t="s">
        <v>34</v>
      </c>
      <c r="D681" s="19" t="s">
        <v>78</v>
      </c>
      <c r="E681" s="19" t="s">
        <v>70</v>
      </c>
      <c r="F681" s="30" t="s">
        <v>6</v>
      </c>
      <c r="G681" s="30" t="s">
        <v>70</v>
      </c>
      <c r="H681" s="32">
        <v>1560.23</v>
      </c>
      <c r="I681" s="35"/>
      <c r="J681" s="35"/>
      <c r="K681" s="37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</row>
    <row r="682" ht="22.5" customHeight="1">
      <c r="A682" s="19" t="s">
        <v>1190</v>
      </c>
      <c r="B682" s="21">
        <v>46248.0</v>
      </c>
      <c r="C682" s="30" t="s">
        <v>34</v>
      </c>
      <c r="D682" s="19" t="s">
        <v>17</v>
      </c>
      <c r="E682" s="19" t="s">
        <v>17</v>
      </c>
      <c r="F682" s="30" t="s">
        <v>17</v>
      </c>
      <c r="G682" s="30" t="s">
        <v>297</v>
      </c>
      <c r="H682" s="32">
        <v>-1000.0</v>
      </c>
      <c r="I682" s="35"/>
      <c r="J682" s="35"/>
      <c r="K682" s="37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</row>
    <row r="683" ht="22.5" customHeight="1">
      <c r="A683" s="19" t="s">
        <v>1191</v>
      </c>
      <c r="B683" s="21">
        <v>46248.0</v>
      </c>
      <c r="C683" s="30" t="s">
        <v>52</v>
      </c>
      <c r="D683" s="19" t="s">
        <v>17</v>
      </c>
      <c r="E683" s="19" t="s">
        <v>17</v>
      </c>
      <c r="F683" s="30" t="s">
        <v>103</v>
      </c>
      <c r="G683" s="30" t="s">
        <v>105</v>
      </c>
      <c r="H683" s="32">
        <v>1000.0</v>
      </c>
      <c r="I683" s="35"/>
      <c r="J683" s="35"/>
      <c r="K683" s="37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</row>
    <row r="684" ht="22.5" customHeight="1">
      <c r="A684" s="19" t="s">
        <v>1192</v>
      </c>
      <c r="B684" s="21">
        <v>46248.0</v>
      </c>
      <c r="C684" s="30" t="s">
        <v>34</v>
      </c>
      <c r="D684" s="19" t="s">
        <v>22</v>
      </c>
      <c r="E684" s="19" t="s">
        <v>22</v>
      </c>
      <c r="F684" s="30" t="s">
        <v>22</v>
      </c>
      <c r="G684" s="30" t="s">
        <v>92</v>
      </c>
      <c r="H684" s="32">
        <v>-500.0</v>
      </c>
      <c r="I684" s="35"/>
      <c r="J684" s="35"/>
      <c r="K684" s="37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</row>
    <row r="685" ht="22.5" customHeight="1">
      <c r="A685" s="19" t="s">
        <v>1193</v>
      </c>
      <c r="B685" s="21">
        <v>46248.0</v>
      </c>
      <c r="C685" s="30" t="s">
        <v>102</v>
      </c>
      <c r="D685" s="19" t="s">
        <v>22</v>
      </c>
      <c r="E685" s="19" t="s">
        <v>22</v>
      </c>
      <c r="F685" s="30" t="s">
        <v>103</v>
      </c>
      <c r="G685" s="30" t="s">
        <v>105</v>
      </c>
      <c r="H685" s="32">
        <v>500.0</v>
      </c>
      <c r="I685" s="35"/>
      <c r="J685" s="35"/>
      <c r="K685" s="37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</row>
    <row r="686" ht="22.5" customHeight="1">
      <c r="A686" s="19" t="s">
        <v>1194</v>
      </c>
      <c r="B686" s="21">
        <v>46248.0</v>
      </c>
      <c r="C686" s="30" t="s">
        <v>34</v>
      </c>
      <c r="D686" s="19" t="s">
        <v>22</v>
      </c>
      <c r="E686" s="19" t="s">
        <v>22</v>
      </c>
      <c r="F686" s="30" t="s">
        <v>22</v>
      </c>
      <c r="G686" s="30" t="s">
        <v>92</v>
      </c>
      <c r="H686" s="32">
        <v>-500.0</v>
      </c>
      <c r="I686" s="35"/>
      <c r="J686" s="35"/>
      <c r="K686" s="37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</row>
    <row r="687" ht="22.5" customHeight="1">
      <c r="A687" s="19" t="s">
        <v>1195</v>
      </c>
      <c r="B687" s="21">
        <v>46248.0</v>
      </c>
      <c r="C687" s="30" t="s">
        <v>121</v>
      </c>
      <c r="D687" s="19" t="s">
        <v>22</v>
      </c>
      <c r="E687" s="19" t="s">
        <v>22</v>
      </c>
      <c r="F687" s="30" t="s">
        <v>103</v>
      </c>
      <c r="G687" s="30" t="s">
        <v>105</v>
      </c>
      <c r="H687" s="32">
        <v>500.0</v>
      </c>
      <c r="I687" s="35"/>
      <c r="J687" s="35"/>
      <c r="K687" s="37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</row>
    <row r="688" ht="22.5" customHeight="1">
      <c r="A688" s="19" t="s">
        <v>1196</v>
      </c>
      <c r="B688" s="21">
        <v>46248.0</v>
      </c>
      <c r="C688" s="30" t="s">
        <v>34</v>
      </c>
      <c r="D688" s="19" t="s">
        <v>321</v>
      </c>
      <c r="E688" s="19" t="s">
        <v>321</v>
      </c>
      <c r="F688" s="30" t="s">
        <v>103</v>
      </c>
      <c r="G688" s="30" t="s">
        <v>279</v>
      </c>
      <c r="H688" s="32">
        <v>-220.24</v>
      </c>
      <c r="I688" s="35"/>
      <c r="J688" s="35"/>
      <c r="K688" s="37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</row>
    <row r="689" ht="22.5" customHeight="1">
      <c r="A689" s="19" t="s">
        <v>1197</v>
      </c>
      <c r="B689" s="21">
        <v>46248.0</v>
      </c>
      <c r="C689" s="30" t="s">
        <v>54</v>
      </c>
      <c r="D689" s="19" t="s">
        <v>321</v>
      </c>
      <c r="E689" s="19" t="s">
        <v>321</v>
      </c>
      <c r="F689" s="30" t="s">
        <v>103</v>
      </c>
      <c r="G689" s="30" t="s">
        <v>105</v>
      </c>
      <c r="H689" s="32">
        <v>220.24</v>
      </c>
      <c r="I689" s="35"/>
      <c r="J689" s="35"/>
      <c r="K689" s="37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</row>
    <row r="690" ht="22.5" customHeight="1">
      <c r="A690" s="19" t="s">
        <v>1198</v>
      </c>
      <c r="B690" s="21">
        <v>46249.0</v>
      </c>
      <c r="C690" s="30" t="s">
        <v>54</v>
      </c>
      <c r="D690" s="19" t="s">
        <v>662</v>
      </c>
      <c r="E690" s="19" t="s">
        <v>1199</v>
      </c>
      <c r="F690" s="30" t="s">
        <v>35</v>
      </c>
      <c r="G690" s="30" t="s">
        <v>48</v>
      </c>
      <c r="H690" s="32">
        <v>-78.5</v>
      </c>
      <c r="I690" s="35"/>
      <c r="J690" s="35"/>
      <c r="K690" s="37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</row>
    <row r="691" ht="22.5" customHeight="1">
      <c r="A691" s="19" t="s">
        <v>1200</v>
      </c>
      <c r="B691" s="21">
        <v>46250.0</v>
      </c>
      <c r="C691" s="30" t="s">
        <v>54</v>
      </c>
      <c r="D691" s="19" t="s">
        <v>158</v>
      </c>
      <c r="E691" s="19" t="s">
        <v>159</v>
      </c>
      <c r="F691" s="30" t="s">
        <v>11</v>
      </c>
      <c r="G691" s="30" t="s">
        <v>57</v>
      </c>
      <c r="H691" s="32">
        <v>-155.2</v>
      </c>
      <c r="I691" s="40">
        <v>30.0</v>
      </c>
      <c r="J691" s="40" t="s">
        <v>161</v>
      </c>
      <c r="K691" s="37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</row>
    <row r="692" ht="22.5" customHeight="1">
      <c r="A692" s="19" t="s">
        <v>1201</v>
      </c>
      <c r="B692" s="21">
        <v>46250.0</v>
      </c>
      <c r="C692" s="30" t="s">
        <v>54</v>
      </c>
      <c r="D692" s="19" t="s">
        <v>528</v>
      </c>
      <c r="E692" s="19" t="s">
        <v>1202</v>
      </c>
      <c r="F692" s="30" t="s">
        <v>61</v>
      </c>
      <c r="G692" s="30" t="s">
        <v>298</v>
      </c>
      <c r="H692" s="32">
        <v>-128.4</v>
      </c>
      <c r="I692" s="35"/>
      <c r="J692" s="35"/>
      <c r="K692" s="37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</row>
    <row r="693" ht="22.5" customHeight="1">
      <c r="A693" s="19" t="s">
        <v>1203</v>
      </c>
      <c r="B693" s="21">
        <v>46251.0</v>
      </c>
      <c r="C693" s="30" t="s">
        <v>54</v>
      </c>
      <c r="D693" s="19" t="s">
        <v>385</v>
      </c>
      <c r="E693" s="19" t="s">
        <v>407</v>
      </c>
      <c r="F693" s="30" t="s">
        <v>11</v>
      </c>
      <c r="G693" s="30" t="s">
        <v>48</v>
      </c>
      <c r="H693" s="32">
        <v>-5.7</v>
      </c>
      <c r="I693" s="40">
        <v>0.65</v>
      </c>
      <c r="J693" s="40" t="s">
        <v>166</v>
      </c>
      <c r="K693" s="37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</row>
    <row r="694" ht="22.5" customHeight="1">
      <c r="A694" s="19" t="s">
        <v>1204</v>
      </c>
      <c r="B694" s="21">
        <v>46251.0</v>
      </c>
      <c r="C694" s="30" t="s">
        <v>54</v>
      </c>
      <c r="D694" s="19" t="s">
        <v>385</v>
      </c>
      <c r="E694" s="19" t="s">
        <v>476</v>
      </c>
      <c r="F694" s="30" t="s">
        <v>11</v>
      </c>
      <c r="G694" s="30" t="s">
        <v>42</v>
      </c>
      <c r="H694" s="32">
        <v>-2.6</v>
      </c>
      <c r="I694" s="40">
        <v>1.0</v>
      </c>
      <c r="J694" s="40" t="s">
        <v>399</v>
      </c>
      <c r="K694" s="37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</row>
    <row r="695" ht="22.5" customHeight="1">
      <c r="A695" s="19" t="s">
        <v>1205</v>
      </c>
      <c r="B695" s="21">
        <v>46251.0</v>
      </c>
      <c r="C695" s="30" t="s">
        <v>54</v>
      </c>
      <c r="D695" s="19" t="s">
        <v>385</v>
      </c>
      <c r="E695" s="19" t="s">
        <v>742</v>
      </c>
      <c r="F695" s="30" t="s">
        <v>11</v>
      </c>
      <c r="G695" s="30" t="s">
        <v>42</v>
      </c>
      <c r="H695" s="32">
        <v>-2.95</v>
      </c>
      <c r="I695" s="40">
        <v>2.0</v>
      </c>
      <c r="J695" s="40" t="s">
        <v>201</v>
      </c>
      <c r="K695" s="37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</row>
    <row r="696" ht="22.5" customHeight="1">
      <c r="A696" s="19" t="s">
        <v>1206</v>
      </c>
      <c r="B696" s="21">
        <v>46251.0</v>
      </c>
      <c r="C696" s="30" t="s">
        <v>54</v>
      </c>
      <c r="D696" s="19" t="s">
        <v>385</v>
      </c>
      <c r="E696" s="19" t="s">
        <v>409</v>
      </c>
      <c r="F696" s="30" t="s">
        <v>11</v>
      </c>
      <c r="G696" s="30" t="s">
        <v>48</v>
      </c>
      <c r="H696" s="32">
        <v>-9.6</v>
      </c>
      <c r="I696" s="40">
        <v>0.828</v>
      </c>
      <c r="J696" s="40" t="s">
        <v>166</v>
      </c>
      <c r="K696" s="37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</row>
    <row r="697" ht="22.5" customHeight="1">
      <c r="A697" s="19" t="s">
        <v>1207</v>
      </c>
      <c r="B697" s="21">
        <v>46251.0</v>
      </c>
      <c r="C697" s="30" t="s">
        <v>54</v>
      </c>
      <c r="D697" s="19" t="s">
        <v>385</v>
      </c>
      <c r="E697" s="19" t="s">
        <v>574</v>
      </c>
      <c r="F697" s="30" t="s">
        <v>11</v>
      </c>
      <c r="G697" s="30" t="s">
        <v>42</v>
      </c>
      <c r="H697" s="32">
        <v>-11.3</v>
      </c>
      <c r="I697" s="40">
        <v>0.8</v>
      </c>
      <c r="J697" s="40" t="s">
        <v>188</v>
      </c>
      <c r="K697" s="37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</row>
    <row r="698" ht="22.5" customHeight="1">
      <c r="A698" s="19" t="s">
        <v>1208</v>
      </c>
      <c r="B698" s="21">
        <v>46251.0</v>
      </c>
      <c r="C698" s="30" t="s">
        <v>54</v>
      </c>
      <c r="D698" s="19" t="s">
        <v>385</v>
      </c>
      <c r="E698" s="19" t="s">
        <v>394</v>
      </c>
      <c r="F698" s="30" t="s">
        <v>11</v>
      </c>
      <c r="G698" s="30" t="s">
        <v>42</v>
      </c>
      <c r="H698" s="32">
        <v>-6.1</v>
      </c>
      <c r="I698" s="40">
        <v>1.6</v>
      </c>
      <c r="J698" s="40" t="s">
        <v>188</v>
      </c>
      <c r="K698" s="37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</row>
    <row r="699" ht="22.5" customHeight="1">
      <c r="A699" s="19" t="s">
        <v>1209</v>
      </c>
      <c r="B699" s="21">
        <v>46251.0</v>
      </c>
      <c r="C699" s="30" t="s">
        <v>54</v>
      </c>
      <c r="D699" s="19" t="s">
        <v>385</v>
      </c>
      <c r="E699" s="19" t="s">
        <v>740</v>
      </c>
      <c r="F699" s="30" t="s">
        <v>11</v>
      </c>
      <c r="G699" s="30" t="s">
        <v>42</v>
      </c>
      <c r="H699" s="32">
        <v>-15.6</v>
      </c>
      <c r="I699" s="40">
        <v>1.1</v>
      </c>
      <c r="J699" s="40" t="s">
        <v>188</v>
      </c>
      <c r="K699" s="37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</row>
    <row r="700" ht="22.5" customHeight="1">
      <c r="A700" s="19" t="s">
        <v>1210</v>
      </c>
      <c r="B700" s="21">
        <v>46251.0</v>
      </c>
      <c r="C700" s="30" t="s">
        <v>54</v>
      </c>
      <c r="D700" s="19" t="s">
        <v>385</v>
      </c>
      <c r="E700" s="19" t="s">
        <v>790</v>
      </c>
      <c r="F700" s="30" t="s">
        <v>11</v>
      </c>
      <c r="G700" s="30" t="s">
        <v>42</v>
      </c>
      <c r="H700" s="32">
        <v>-24.6</v>
      </c>
      <c r="I700" s="40">
        <v>1.2</v>
      </c>
      <c r="J700" s="40" t="s">
        <v>188</v>
      </c>
      <c r="K700" s="37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</row>
    <row r="701" ht="22.5" customHeight="1">
      <c r="A701" s="19" t="s">
        <v>1211</v>
      </c>
      <c r="B701" s="21">
        <v>46254.0</v>
      </c>
      <c r="C701" s="30" t="s">
        <v>54</v>
      </c>
      <c r="D701" s="19" t="s">
        <v>659</v>
      </c>
      <c r="E701" s="19" t="s">
        <v>1212</v>
      </c>
      <c r="F701" s="30" t="s">
        <v>44</v>
      </c>
      <c r="G701" s="30" t="s">
        <v>271</v>
      </c>
      <c r="H701" s="32">
        <v>-44.9</v>
      </c>
      <c r="I701" s="35"/>
      <c r="J701" s="35"/>
      <c r="K701" s="37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</row>
    <row r="702" ht="22.5" customHeight="1">
      <c r="A702" s="19" t="s">
        <v>1213</v>
      </c>
      <c r="B702" s="21">
        <v>46255.0</v>
      </c>
      <c r="C702" s="30" t="s">
        <v>34</v>
      </c>
      <c r="D702" s="19" t="s">
        <v>321</v>
      </c>
      <c r="E702" s="19" t="s">
        <v>321</v>
      </c>
      <c r="F702" s="30" t="s">
        <v>103</v>
      </c>
      <c r="G702" s="30" t="s">
        <v>279</v>
      </c>
      <c r="H702" s="32">
        <v>-485.45</v>
      </c>
      <c r="I702" s="35"/>
      <c r="J702" s="35"/>
      <c r="K702" s="37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</row>
    <row r="703" ht="22.5" customHeight="1">
      <c r="A703" s="19" t="s">
        <v>1214</v>
      </c>
      <c r="B703" s="21">
        <v>46255.0</v>
      </c>
      <c r="C703" s="30" t="s">
        <v>54</v>
      </c>
      <c r="D703" s="19" t="s">
        <v>321</v>
      </c>
      <c r="E703" s="19" t="s">
        <v>321</v>
      </c>
      <c r="F703" s="30" t="s">
        <v>103</v>
      </c>
      <c r="G703" s="30" t="s">
        <v>105</v>
      </c>
      <c r="H703" s="32">
        <v>485.45</v>
      </c>
      <c r="I703" s="35"/>
      <c r="J703" s="35"/>
      <c r="K703" s="37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</row>
    <row r="704" ht="22.5" customHeight="1">
      <c r="A704" s="19" t="s">
        <v>1215</v>
      </c>
      <c r="B704" s="21">
        <v>46256.0</v>
      </c>
      <c r="C704" s="30" t="s">
        <v>54</v>
      </c>
      <c r="D704" s="19" t="s">
        <v>371</v>
      </c>
      <c r="E704" s="19" t="s">
        <v>372</v>
      </c>
      <c r="F704" s="30" t="s">
        <v>35</v>
      </c>
      <c r="G704" s="30" t="s">
        <v>251</v>
      </c>
      <c r="H704" s="32">
        <v>-66.1</v>
      </c>
      <c r="I704" s="35"/>
      <c r="J704" s="35"/>
      <c r="K704" s="37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</row>
    <row r="705" ht="22.5" customHeight="1">
      <c r="A705" s="19" t="s">
        <v>1216</v>
      </c>
      <c r="B705" s="21">
        <v>46257.0</v>
      </c>
      <c r="C705" s="30" t="s">
        <v>134</v>
      </c>
      <c r="D705" s="19" t="s">
        <v>419</v>
      </c>
      <c r="E705" s="19" t="s">
        <v>15</v>
      </c>
      <c r="F705" s="30" t="s">
        <v>11</v>
      </c>
      <c r="G705" s="30" t="s">
        <v>8</v>
      </c>
      <c r="H705" s="32">
        <v>-145.6</v>
      </c>
      <c r="I705" s="35"/>
      <c r="J705" s="35"/>
      <c r="K705" s="37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</row>
    <row r="706" ht="22.5" customHeight="1">
      <c r="A706" s="19" t="s">
        <v>1217</v>
      </c>
      <c r="B706" s="21">
        <v>46258.0</v>
      </c>
      <c r="C706" s="30" t="s">
        <v>54</v>
      </c>
      <c r="D706" s="19" t="s">
        <v>164</v>
      </c>
      <c r="E706" s="19" t="s">
        <v>274</v>
      </c>
      <c r="F706" s="30" t="s">
        <v>11</v>
      </c>
      <c r="G706" s="30" t="s">
        <v>42</v>
      </c>
      <c r="H706" s="32">
        <v>-6.0</v>
      </c>
      <c r="I706" s="40">
        <v>0.75</v>
      </c>
      <c r="J706" s="40" t="s">
        <v>166</v>
      </c>
      <c r="K706" s="37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</row>
    <row r="707" ht="22.5" customHeight="1">
      <c r="A707" s="19" t="s">
        <v>1218</v>
      </c>
      <c r="B707" s="21">
        <v>46258.0</v>
      </c>
      <c r="C707" s="30" t="s">
        <v>54</v>
      </c>
      <c r="D707" s="19" t="s">
        <v>164</v>
      </c>
      <c r="E707" s="19" t="s">
        <v>557</v>
      </c>
      <c r="F707" s="30" t="s">
        <v>11</v>
      </c>
      <c r="G707" s="30" t="s">
        <v>42</v>
      </c>
      <c r="H707" s="32">
        <v>-3.15</v>
      </c>
      <c r="I707" s="40">
        <v>1.0</v>
      </c>
      <c r="J707" s="40" t="s">
        <v>166</v>
      </c>
      <c r="K707" s="37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</row>
    <row r="708" ht="22.5" customHeight="1">
      <c r="A708" s="19" t="s">
        <v>1219</v>
      </c>
      <c r="B708" s="21">
        <v>46258.0</v>
      </c>
      <c r="C708" s="30" t="s">
        <v>54</v>
      </c>
      <c r="D708" s="19" t="s">
        <v>164</v>
      </c>
      <c r="E708" s="19" t="s">
        <v>454</v>
      </c>
      <c r="F708" s="30" t="s">
        <v>11</v>
      </c>
      <c r="G708" s="30" t="s">
        <v>42</v>
      </c>
      <c r="H708" s="32">
        <v>-29.5</v>
      </c>
      <c r="I708" s="40">
        <v>0.45</v>
      </c>
      <c r="J708" s="40" t="s">
        <v>188</v>
      </c>
      <c r="K708" s="37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</row>
    <row r="709" ht="22.5" customHeight="1">
      <c r="A709" s="19" t="s">
        <v>1220</v>
      </c>
      <c r="B709" s="21">
        <v>46258.0</v>
      </c>
      <c r="C709" s="30" t="s">
        <v>54</v>
      </c>
      <c r="D709" s="19" t="s">
        <v>164</v>
      </c>
      <c r="E709" s="19" t="s">
        <v>386</v>
      </c>
      <c r="F709" s="30" t="s">
        <v>11</v>
      </c>
      <c r="G709" s="30" t="s">
        <v>42</v>
      </c>
      <c r="H709" s="32">
        <v>-4.95</v>
      </c>
      <c r="I709" s="40">
        <v>0.46</v>
      </c>
      <c r="J709" s="40" t="s">
        <v>188</v>
      </c>
      <c r="K709" s="37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</row>
    <row r="710" ht="22.5" customHeight="1">
      <c r="A710" s="19" t="s">
        <v>1221</v>
      </c>
      <c r="B710" s="21">
        <v>46258.0</v>
      </c>
      <c r="C710" s="30" t="s">
        <v>54</v>
      </c>
      <c r="D710" s="19" t="s">
        <v>164</v>
      </c>
      <c r="E710" s="19" t="s">
        <v>622</v>
      </c>
      <c r="F710" s="30" t="s">
        <v>11</v>
      </c>
      <c r="G710" s="30" t="s">
        <v>42</v>
      </c>
      <c r="H710" s="32">
        <v>-7.9</v>
      </c>
      <c r="I710" s="40">
        <v>2.0</v>
      </c>
      <c r="J710" s="40" t="s">
        <v>487</v>
      </c>
      <c r="K710" s="37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</row>
    <row r="711" ht="22.5" customHeight="1">
      <c r="A711" s="19" t="s">
        <v>1222</v>
      </c>
      <c r="B711" s="21">
        <v>46258.0</v>
      </c>
      <c r="C711" s="30" t="s">
        <v>54</v>
      </c>
      <c r="D711" s="19" t="s">
        <v>164</v>
      </c>
      <c r="E711" s="19" t="s">
        <v>224</v>
      </c>
      <c r="F711" s="30" t="s">
        <v>11</v>
      </c>
      <c r="G711" s="30" t="s">
        <v>42</v>
      </c>
      <c r="H711" s="32">
        <v>-4.6</v>
      </c>
      <c r="I711" s="40">
        <v>2.0</v>
      </c>
      <c r="J711" s="40" t="s">
        <v>170</v>
      </c>
      <c r="K711" s="37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</row>
    <row r="712" ht="22.5" customHeight="1">
      <c r="A712" s="19" t="s">
        <v>1223</v>
      </c>
      <c r="B712" s="21">
        <v>46258.0</v>
      </c>
      <c r="C712" s="30" t="s">
        <v>54</v>
      </c>
      <c r="D712" s="19" t="s">
        <v>158</v>
      </c>
      <c r="E712" s="19" t="s">
        <v>667</v>
      </c>
      <c r="F712" s="30" t="s">
        <v>61</v>
      </c>
      <c r="G712" s="30" t="s">
        <v>272</v>
      </c>
      <c r="H712" s="32">
        <v>-10.98</v>
      </c>
      <c r="I712" s="35"/>
      <c r="J712" s="35"/>
      <c r="K712" s="37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</row>
    <row r="713" ht="22.5" customHeight="1">
      <c r="A713" s="19" t="s">
        <v>1224</v>
      </c>
      <c r="B713" s="21">
        <v>46261.0</v>
      </c>
      <c r="C713" s="30" t="s">
        <v>134</v>
      </c>
      <c r="D713" s="19" t="s">
        <v>520</v>
      </c>
      <c r="E713" s="19" t="s">
        <v>1225</v>
      </c>
      <c r="F713" s="30" t="s">
        <v>51</v>
      </c>
      <c r="G713" s="30" t="s">
        <v>277</v>
      </c>
      <c r="H713" s="32">
        <v>-32.0</v>
      </c>
      <c r="I713" s="35"/>
      <c r="J713" s="35"/>
      <c r="K713" s="37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</row>
    <row r="714" ht="22.5" customHeight="1">
      <c r="A714" s="19" t="s">
        <v>1226</v>
      </c>
      <c r="B714" s="21">
        <v>46262.0</v>
      </c>
      <c r="C714" s="30" t="s">
        <v>34</v>
      </c>
      <c r="D714" s="19" t="s">
        <v>69</v>
      </c>
      <c r="E714" s="19" t="s">
        <v>70</v>
      </c>
      <c r="F714" s="30" t="s">
        <v>6</v>
      </c>
      <c r="G714" s="30" t="s">
        <v>70</v>
      </c>
      <c r="H714" s="32">
        <v>2010.98</v>
      </c>
      <c r="I714" s="35"/>
      <c r="J714" s="35"/>
      <c r="K714" s="37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</row>
    <row r="715" ht="22.5" customHeight="1">
      <c r="A715" s="19" t="s">
        <v>1227</v>
      </c>
      <c r="B715" s="21">
        <v>46262.0</v>
      </c>
      <c r="C715" s="30" t="s">
        <v>34</v>
      </c>
      <c r="D715" s="19" t="s">
        <v>78</v>
      </c>
      <c r="E715" s="19" t="s">
        <v>70</v>
      </c>
      <c r="F715" s="30" t="s">
        <v>6</v>
      </c>
      <c r="G715" s="30" t="s">
        <v>70</v>
      </c>
      <c r="H715" s="32">
        <v>1560.23</v>
      </c>
      <c r="I715" s="35"/>
      <c r="J715" s="35"/>
      <c r="K715" s="37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</row>
    <row r="716" ht="22.5" customHeight="1">
      <c r="A716" s="19" t="s">
        <v>1228</v>
      </c>
      <c r="B716" s="21">
        <v>46262.0</v>
      </c>
      <c r="C716" s="30" t="s">
        <v>34</v>
      </c>
      <c r="D716" s="19" t="s">
        <v>321</v>
      </c>
      <c r="E716" s="19" t="s">
        <v>321</v>
      </c>
      <c r="F716" s="30" t="s">
        <v>103</v>
      </c>
      <c r="G716" s="30" t="s">
        <v>279</v>
      </c>
      <c r="H716" s="32">
        <v>-133.18</v>
      </c>
      <c r="I716" s="35"/>
      <c r="J716" s="35"/>
      <c r="K716" s="37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</row>
    <row r="717" ht="22.5" customHeight="1">
      <c r="A717" s="19" t="s">
        <v>1229</v>
      </c>
      <c r="B717" s="21">
        <v>46262.0</v>
      </c>
      <c r="C717" s="30" t="s">
        <v>54</v>
      </c>
      <c r="D717" s="19" t="s">
        <v>321</v>
      </c>
      <c r="E717" s="19" t="s">
        <v>321</v>
      </c>
      <c r="F717" s="30" t="s">
        <v>103</v>
      </c>
      <c r="G717" s="30" t="s">
        <v>105</v>
      </c>
      <c r="H717" s="32">
        <v>133.18</v>
      </c>
      <c r="I717" s="35"/>
      <c r="J717" s="35"/>
      <c r="K717" s="37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</row>
    <row r="718" ht="22.5" customHeight="1">
      <c r="A718" s="19" t="s">
        <v>1230</v>
      </c>
      <c r="B718" s="21">
        <v>46263.0</v>
      </c>
      <c r="C718" s="30" t="s">
        <v>54</v>
      </c>
      <c r="D718" s="19" t="s">
        <v>597</v>
      </c>
      <c r="E718" s="19" t="s">
        <v>598</v>
      </c>
      <c r="F718" s="30" t="s">
        <v>35</v>
      </c>
      <c r="G718" s="30" t="s">
        <v>251</v>
      </c>
      <c r="H718" s="32">
        <v>-41.2</v>
      </c>
      <c r="I718" s="35"/>
      <c r="J718" s="35"/>
      <c r="K718" s="37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</row>
    <row r="719" ht="22.5" customHeight="1">
      <c r="A719" s="19" t="s">
        <v>1231</v>
      </c>
      <c r="B719" s="21">
        <v>46263.0</v>
      </c>
      <c r="C719" s="30" t="s">
        <v>54</v>
      </c>
      <c r="D719" s="19" t="s">
        <v>385</v>
      </c>
      <c r="E719" s="19" t="s">
        <v>490</v>
      </c>
      <c r="F719" s="30" t="s">
        <v>11</v>
      </c>
      <c r="G719" s="30" t="s">
        <v>42</v>
      </c>
      <c r="H719" s="32">
        <v>-4.1</v>
      </c>
      <c r="I719" s="40">
        <v>0.9</v>
      </c>
      <c r="J719" s="40" t="s">
        <v>188</v>
      </c>
      <c r="K719" s="37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</row>
    <row r="720" ht="22.5" customHeight="1">
      <c r="A720" s="19" t="s">
        <v>1232</v>
      </c>
      <c r="B720" s="21">
        <v>46263.0</v>
      </c>
      <c r="C720" s="30" t="s">
        <v>54</v>
      </c>
      <c r="D720" s="19" t="s">
        <v>429</v>
      </c>
      <c r="E720" s="19" t="s">
        <v>335</v>
      </c>
      <c r="F720" s="30" t="s">
        <v>35</v>
      </c>
      <c r="G720" s="30" t="s">
        <v>294</v>
      </c>
      <c r="H720" s="32">
        <v>-4.47</v>
      </c>
      <c r="I720" s="35"/>
      <c r="J720" s="35"/>
      <c r="K720" s="37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</row>
    <row r="721" ht="22.5" customHeight="1">
      <c r="A721" s="19" t="s">
        <v>1233</v>
      </c>
      <c r="B721" s="21">
        <v>46263.0</v>
      </c>
      <c r="C721" s="30" t="s">
        <v>54</v>
      </c>
      <c r="D721" s="19" t="s">
        <v>385</v>
      </c>
      <c r="E721" s="19" t="s">
        <v>675</v>
      </c>
      <c r="F721" s="30" t="s">
        <v>11</v>
      </c>
      <c r="G721" s="30" t="s">
        <v>42</v>
      </c>
      <c r="H721" s="32">
        <v>-14.9</v>
      </c>
      <c r="I721" s="40">
        <v>0.8</v>
      </c>
      <c r="J721" s="40" t="s">
        <v>188</v>
      </c>
      <c r="K721" s="37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</row>
    <row r="722" ht="22.5" customHeight="1">
      <c r="A722" s="19" t="s">
        <v>1234</v>
      </c>
      <c r="B722" s="21">
        <v>46263.0</v>
      </c>
      <c r="C722" s="30" t="s">
        <v>54</v>
      </c>
      <c r="D722" s="19" t="s">
        <v>385</v>
      </c>
      <c r="E722" s="19" t="s">
        <v>736</v>
      </c>
      <c r="F722" s="30" t="s">
        <v>11</v>
      </c>
      <c r="G722" s="30" t="s">
        <v>42</v>
      </c>
      <c r="H722" s="32">
        <v>-5.7</v>
      </c>
      <c r="I722" s="40">
        <v>0.5</v>
      </c>
      <c r="J722" s="40" t="s">
        <v>166</v>
      </c>
      <c r="K722" s="37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</row>
    <row r="723" ht="22.5" customHeight="1">
      <c r="A723" s="19" t="s">
        <v>1235</v>
      </c>
      <c r="B723" s="21">
        <v>46263.0</v>
      </c>
      <c r="C723" s="30" t="s">
        <v>54</v>
      </c>
      <c r="D723" s="19" t="s">
        <v>385</v>
      </c>
      <c r="E723" s="19" t="s">
        <v>570</v>
      </c>
      <c r="F723" s="30" t="s">
        <v>11</v>
      </c>
      <c r="G723" s="30" t="s">
        <v>42</v>
      </c>
      <c r="H723" s="32">
        <v>-17.3</v>
      </c>
      <c r="I723" s="40">
        <v>1.75</v>
      </c>
      <c r="J723" s="40" t="s">
        <v>188</v>
      </c>
      <c r="K723" s="37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</row>
    <row r="724" ht="22.5" customHeight="1">
      <c r="A724" s="19" t="s">
        <v>1236</v>
      </c>
      <c r="B724" s="21">
        <v>46263.0</v>
      </c>
      <c r="C724" s="30" t="s">
        <v>54</v>
      </c>
      <c r="D724" s="19" t="s">
        <v>385</v>
      </c>
      <c r="E724" s="19" t="s">
        <v>543</v>
      </c>
      <c r="F724" s="30" t="s">
        <v>11</v>
      </c>
      <c r="G724" s="30" t="s">
        <v>42</v>
      </c>
      <c r="H724" s="32">
        <v>-7.4</v>
      </c>
      <c r="I724" s="40">
        <v>0.68</v>
      </c>
      <c r="J724" s="40" t="s">
        <v>166</v>
      </c>
      <c r="K724" s="37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</row>
    <row r="725" ht="22.5" customHeight="1">
      <c r="A725" s="19" t="s">
        <v>1237</v>
      </c>
      <c r="B725" s="21">
        <v>46265.0</v>
      </c>
      <c r="C725" s="30" t="s">
        <v>34</v>
      </c>
      <c r="D725" s="19" t="s">
        <v>321</v>
      </c>
      <c r="E725" s="19" t="s">
        <v>321</v>
      </c>
      <c r="F725" s="30" t="s">
        <v>103</v>
      </c>
      <c r="G725" s="30" t="s">
        <v>279</v>
      </c>
      <c r="H725" s="32">
        <v>-516.3</v>
      </c>
      <c r="I725" s="35"/>
      <c r="J725" s="35"/>
      <c r="K725" s="37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</row>
    <row r="726" ht="22.5" customHeight="1">
      <c r="A726" s="19" t="s">
        <v>1238</v>
      </c>
      <c r="B726" s="21">
        <v>46265.0</v>
      </c>
      <c r="C726" s="30" t="s">
        <v>134</v>
      </c>
      <c r="D726" s="19" t="s">
        <v>321</v>
      </c>
      <c r="E726" s="19" t="s">
        <v>321</v>
      </c>
      <c r="F726" s="30" t="s">
        <v>103</v>
      </c>
      <c r="G726" s="30" t="s">
        <v>105</v>
      </c>
      <c r="H726" s="32">
        <v>516.3</v>
      </c>
      <c r="I726" s="35"/>
      <c r="J726" s="35"/>
      <c r="K726" s="37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</row>
    <row r="727" ht="22.5" customHeight="1">
      <c r="A727" s="19" t="s">
        <v>1239</v>
      </c>
      <c r="B727" s="21">
        <v>46265.0</v>
      </c>
      <c r="C727" s="30" t="s">
        <v>145</v>
      </c>
      <c r="D727" s="19" t="s">
        <v>331</v>
      </c>
      <c r="E727" s="19" t="s">
        <v>285</v>
      </c>
      <c r="F727" s="30" t="s">
        <v>6</v>
      </c>
      <c r="G727" s="30" t="s">
        <v>285</v>
      </c>
      <c r="H727" s="32">
        <v>6.14</v>
      </c>
      <c r="I727" s="35"/>
      <c r="J727" s="35"/>
      <c r="K727" s="37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</row>
    <row r="728" ht="22.5" customHeight="1">
      <c r="A728" s="19" t="s">
        <v>1240</v>
      </c>
      <c r="B728" s="21">
        <v>46265.0</v>
      </c>
      <c r="C728" s="30" t="s">
        <v>52</v>
      </c>
      <c r="D728" s="19" t="s">
        <v>331</v>
      </c>
      <c r="E728" s="19" t="s">
        <v>469</v>
      </c>
      <c r="F728" s="30" t="s">
        <v>6</v>
      </c>
      <c r="G728" s="30" t="s">
        <v>280</v>
      </c>
      <c r="H728" s="32">
        <v>71.4</v>
      </c>
      <c r="I728" s="35"/>
      <c r="J728" s="35"/>
      <c r="K728" s="37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</row>
    <row r="729" ht="22.5" customHeight="1">
      <c r="A729" s="19" t="s">
        <v>1241</v>
      </c>
      <c r="B729" s="21">
        <v>46265.0</v>
      </c>
      <c r="C729" s="30" t="s">
        <v>34</v>
      </c>
      <c r="D729" s="19" t="s">
        <v>456</v>
      </c>
      <c r="E729" s="19" t="s">
        <v>456</v>
      </c>
      <c r="F729" s="30" t="s">
        <v>22</v>
      </c>
      <c r="G729" s="30" t="s">
        <v>92</v>
      </c>
      <c r="H729" s="32">
        <v>-280.32</v>
      </c>
      <c r="I729" s="35"/>
      <c r="J729" s="35"/>
      <c r="K729" s="37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</row>
    <row r="730" ht="22.5" customHeight="1">
      <c r="A730" s="19" t="s">
        <v>1242</v>
      </c>
      <c r="B730" s="21">
        <v>46265.0</v>
      </c>
      <c r="C730" s="30" t="s">
        <v>102</v>
      </c>
      <c r="D730" s="19" t="s">
        <v>456</v>
      </c>
      <c r="E730" s="19" t="s">
        <v>456</v>
      </c>
      <c r="F730" s="30" t="s">
        <v>103</v>
      </c>
      <c r="G730" s="30" t="s">
        <v>105</v>
      </c>
      <c r="H730" s="32">
        <v>280.32</v>
      </c>
      <c r="I730" s="35"/>
      <c r="J730" s="35"/>
      <c r="K730" s="37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</row>
    <row r="731" ht="22.5" customHeight="1">
      <c r="A731" s="19" t="s">
        <v>1243</v>
      </c>
      <c r="B731" s="21">
        <v>46265.0</v>
      </c>
      <c r="C731" s="30" t="s">
        <v>34</v>
      </c>
      <c r="D731" s="19" t="s">
        <v>456</v>
      </c>
      <c r="E731" s="19" t="s">
        <v>456</v>
      </c>
      <c r="F731" s="30" t="s">
        <v>22</v>
      </c>
      <c r="G731" s="30" t="s">
        <v>92</v>
      </c>
      <c r="H731" s="32">
        <v>-280.33</v>
      </c>
      <c r="I731" s="35"/>
      <c r="J731" s="35"/>
      <c r="K731" s="37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</row>
    <row r="732" ht="22.5" customHeight="1">
      <c r="A732" s="19" t="s">
        <v>1244</v>
      </c>
      <c r="B732" s="21">
        <v>46265.0</v>
      </c>
      <c r="C732" s="30" t="s">
        <v>121</v>
      </c>
      <c r="D732" s="19" t="s">
        <v>456</v>
      </c>
      <c r="E732" s="19" t="s">
        <v>456</v>
      </c>
      <c r="F732" s="30" t="s">
        <v>103</v>
      </c>
      <c r="G732" s="30" t="s">
        <v>105</v>
      </c>
      <c r="H732" s="32">
        <v>280.33</v>
      </c>
      <c r="I732" s="35"/>
      <c r="J732" s="35"/>
      <c r="K732" s="37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</row>
    <row r="733" ht="22.5" customHeight="1">
      <c r="A733" s="19" t="s">
        <v>1245</v>
      </c>
      <c r="B733" s="21">
        <v>46265.0</v>
      </c>
      <c r="C733" s="30" t="s">
        <v>34</v>
      </c>
      <c r="D733" s="19" t="s">
        <v>321</v>
      </c>
      <c r="E733" s="19" t="s">
        <v>321</v>
      </c>
      <c r="F733" s="30" t="s">
        <v>103</v>
      </c>
      <c r="G733" s="30" t="s">
        <v>279</v>
      </c>
      <c r="H733" s="32">
        <v>-581.07</v>
      </c>
      <c r="I733" s="40"/>
      <c r="J733" s="40"/>
      <c r="K733" s="19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</row>
    <row r="734" ht="22.5" customHeight="1">
      <c r="A734" s="19" t="s">
        <v>1246</v>
      </c>
      <c r="B734" s="21">
        <v>46265.0</v>
      </c>
      <c r="C734" s="30" t="s">
        <v>54</v>
      </c>
      <c r="D734" s="19" t="s">
        <v>321</v>
      </c>
      <c r="E734" s="19" t="s">
        <v>321</v>
      </c>
      <c r="F734" s="30" t="s">
        <v>103</v>
      </c>
      <c r="G734" s="30" t="s">
        <v>105</v>
      </c>
      <c r="H734" s="32">
        <v>581.07</v>
      </c>
      <c r="I734" s="40"/>
      <c r="J734" s="40"/>
      <c r="K734" s="19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</row>
    <row r="735" ht="22.5" customHeight="1">
      <c r="A735" s="19" t="s">
        <v>1247</v>
      </c>
      <c r="B735" s="21">
        <v>46266.0</v>
      </c>
      <c r="C735" s="30" t="s">
        <v>34</v>
      </c>
      <c r="D735" s="27" t="s">
        <v>37</v>
      </c>
      <c r="E735" s="27" t="s">
        <v>9</v>
      </c>
      <c r="F735" s="30" t="s">
        <v>11</v>
      </c>
      <c r="G735" s="30" t="s">
        <v>8</v>
      </c>
      <c r="H735" s="32">
        <v>-2300.0</v>
      </c>
      <c r="I735" s="40" t="s">
        <v>1248</v>
      </c>
      <c r="J735" s="40" t="s">
        <v>1248</v>
      </c>
      <c r="K735" s="19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</row>
    <row r="736" ht="22.5" customHeight="1">
      <c r="A736" s="19" t="s">
        <v>1249</v>
      </c>
      <c r="B736" s="21">
        <v>46266.0</v>
      </c>
      <c r="C736" s="30" t="s">
        <v>134</v>
      </c>
      <c r="D736" s="27" t="s">
        <v>56</v>
      </c>
      <c r="E736" s="27" t="s">
        <v>33</v>
      </c>
      <c r="F736" s="30" t="s">
        <v>11</v>
      </c>
      <c r="G736" s="30" t="s">
        <v>8</v>
      </c>
      <c r="H736" s="32">
        <v>-24.51</v>
      </c>
      <c r="I736" s="40" t="s">
        <v>1248</v>
      </c>
      <c r="J736" s="40" t="s">
        <v>1248</v>
      </c>
      <c r="K736" s="19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</row>
    <row r="737" ht="22.5" customHeight="1">
      <c r="A737" s="19" t="s">
        <v>1250</v>
      </c>
      <c r="B737" s="21">
        <v>46266.0</v>
      </c>
      <c r="C737" s="30" t="s">
        <v>54</v>
      </c>
      <c r="D737" s="27" t="s">
        <v>147</v>
      </c>
      <c r="E737" s="27" t="s">
        <v>148</v>
      </c>
      <c r="F737" s="30" t="s">
        <v>11</v>
      </c>
      <c r="G737" s="30" t="s">
        <v>62</v>
      </c>
      <c r="H737" s="32">
        <v>-160.0</v>
      </c>
      <c r="I737" s="40" t="s">
        <v>1248</v>
      </c>
      <c r="J737" s="40" t="s">
        <v>1248</v>
      </c>
      <c r="K737" s="27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</row>
    <row r="738" ht="22.5" customHeight="1">
      <c r="A738" s="19" t="s">
        <v>1251</v>
      </c>
      <c r="B738" s="21">
        <v>46266.0</v>
      </c>
      <c r="C738" s="30" t="s">
        <v>134</v>
      </c>
      <c r="D738" s="27" t="s">
        <v>147</v>
      </c>
      <c r="E738" s="27" t="s">
        <v>148</v>
      </c>
      <c r="F738" s="30" t="s">
        <v>11</v>
      </c>
      <c r="G738" s="30" t="s">
        <v>62</v>
      </c>
      <c r="H738" s="32">
        <v>-80.0</v>
      </c>
      <c r="I738" s="40" t="s">
        <v>1248</v>
      </c>
      <c r="J738" s="40" t="s">
        <v>1248</v>
      </c>
      <c r="K738" s="27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</row>
    <row r="739" ht="22.5" customHeight="1">
      <c r="A739" s="19" t="s">
        <v>1252</v>
      </c>
      <c r="B739" s="21">
        <v>46268.0</v>
      </c>
      <c r="C739" s="30" t="s">
        <v>54</v>
      </c>
      <c r="D739" s="27" t="s">
        <v>164</v>
      </c>
      <c r="E739" s="27" t="s">
        <v>301</v>
      </c>
      <c r="F739" s="30" t="s">
        <v>11</v>
      </c>
      <c r="G739" s="30" t="s">
        <v>42</v>
      </c>
      <c r="H739" s="32">
        <v>-5.7</v>
      </c>
      <c r="I739" s="40">
        <v>1.0</v>
      </c>
      <c r="J739" s="40" t="s">
        <v>304</v>
      </c>
      <c r="K739" s="27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</row>
    <row r="740" ht="22.5" customHeight="1">
      <c r="A740" s="19" t="s">
        <v>1253</v>
      </c>
      <c r="B740" s="21">
        <v>46268.0</v>
      </c>
      <c r="C740" s="30" t="s">
        <v>54</v>
      </c>
      <c r="D740" s="27" t="s">
        <v>164</v>
      </c>
      <c r="E740" s="27" t="s">
        <v>354</v>
      </c>
      <c r="F740" s="30" t="s">
        <v>11</v>
      </c>
      <c r="G740" s="30" t="s">
        <v>42</v>
      </c>
      <c r="H740" s="32">
        <v>-4.4</v>
      </c>
      <c r="I740" s="40">
        <v>12.0</v>
      </c>
      <c r="J740" s="40" t="s">
        <v>355</v>
      </c>
      <c r="K740" s="27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</row>
    <row r="741" ht="22.5" customHeight="1">
      <c r="A741" s="19" t="s">
        <v>1254</v>
      </c>
      <c r="B741" s="21">
        <v>46268.0</v>
      </c>
      <c r="C741" s="30" t="s">
        <v>54</v>
      </c>
      <c r="D741" s="27" t="s">
        <v>164</v>
      </c>
      <c r="E741" s="27" t="s">
        <v>237</v>
      </c>
      <c r="F741" s="30" t="s">
        <v>11</v>
      </c>
      <c r="G741" s="30" t="s">
        <v>42</v>
      </c>
      <c r="H741" s="32">
        <v>-6.05</v>
      </c>
      <c r="I741" s="40">
        <v>1.8</v>
      </c>
      <c r="J741" s="40" t="s">
        <v>188</v>
      </c>
      <c r="K741" s="27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</row>
    <row r="742" ht="22.5" customHeight="1">
      <c r="A742" s="19" t="s">
        <v>1255</v>
      </c>
      <c r="B742" s="21">
        <v>46268.0</v>
      </c>
      <c r="C742" s="30" t="s">
        <v>54</v>
      </c>
      <c r="D742" s="27" t="s">
        <v>164</v>
      </c>
      <c r="E742" s="27" t="s">
        <v>169</v>
      </c>
      <c r="F742" s="30" t="s">
        <v>11</v>
      </c>
      <c r="G742" s="30" t="s">
        <v>42</v>
      </c>
      <c r="H742" s="32">
        <v>-6.7</v>
      </c>
      <c r="I742" s="40">
        <v>2.0</v>
      </c>
      <c r="J742" s="40" t="s">
        <v>170</v>
      </c>
      <c r="K742" s="27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</row>
    <row r="743" ht="22.5" customHeight="1">
      <c r="A743" s="19" t="s">
        <v>1256</v>
      </c>
      <c r="B743" s="21">
        <v>46268.0</v>
      </c>
      <c r="C743" s="30" t="s">
        <v>54</v>
      </c>
      <c r="D743" s="27" t="s">
        <v>164</v>
      </c>
      <c r="E743" s="27" t="s">
        <v>466</v>
      </c>
      <c r="F743" s="30" t="s">
        <v>11</v>
      </c>
      <c r="G743" s="30" t="s">
        <v>42</v>
      </c>
      <c r="H743" s="32">
        <v>-7.95</v>
      </c>
      <c r="I743" s="40">
        <v>1.6</v>
      </c>
      <c r="J743" s="40" t="s">
        <v>188</v>
      </c>
      <c r="K743" s="27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</row>
    <row r="744" ht="22.5" customHeight="1">
      <c r="A744" s="19" t="s">
        <v>1257</v>
      </c>
      <c r="B744" s="21">
        <v>46268.0</v>
      </c>
      <c r="C744" s="30" t="s">
        <v>54</v>
      </c>
      <c r="D744" s="27" t="s">
        <v>164</v>
      </c>
      <c r="E744" s="27" t="s">
        <v>206</v>
      </c>
      <c r="F744" s="30" t="s">
        <v>11</v>
      </c>
      <c r="G744" s="30" t="s">
        <v>42</v>
      </c>
      <c r="H744" s="32">
        <v>-5.75</v>
      </c>
      <c r="I744" s="40">
        <v>2.0</v>
      </c>
      <c r="J744" s="40" t="s">
        <v>170</v>
      </c>
      <c r="K744" s="19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</row>
    <row r="745" ht="22.5" customHeight="1">
      <c r="A745" s="19" t="s">
        <v>1258</v>
      </c>
      <c r="B745" s="21">
        <v>46268.0</v>
      </c>
      <c r="C745" s="30" t="s">
        <v>54</v>
      </c>
      <c r="D745" s="27" t="s">
        <v>164</v>
      </c>
      <c r="E745" s="27" t="s">
        <v>389</v>
      </c>
      <c r="F745" s="30" t="s">
        <v>11</v>
      </c>
      <c r="G745" s="30" t="s">
        <v>42</v>
      </c>
      <c r="H745" s="32">
        <v>-1.8</v>
      </c>
      <c r="I745" s="40">
        <v>3.0</v>
      </c>
      <c r="J745" s="40" t="s">
        <v>310</v>
      </c>
      <c r="K745" s="19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</row>
    <row r="746" ht="22.5" customHeight="1">
      <c r="A746" s="19" t="s">
        <v>1259</v>
      </c>
      <c r="B746" s="21">
        <v>46269.0</v>
      </c>
      <c r="C746" s="30" t="s">
        <v>34</v>
      </c>
      <c r="D746" s="27" t="s">
        <v>321</v>
      </c>
      <c r="E746" s="27" t="s">
        <v>321</v>
      </c>
      <c r="F746" s="30" t="s">
        <v>103</v>
      </c>
      <c r="G746" s="30" t="s">
        <v>279</v>
      </c>
      <c r="H746" s="32">
        <v>-198.35</v>
      </c>
      <c r="I746" s="40" t="s">
        <v>1248</v>
      </c>
      <c r="J746" s="40" t="s">
        <v>1248</v>
      </c>
      <c r="K746" s="19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</row>
    <row r="747" ht="22.5" customHeight="1">
      <c r="A747" s="19" t="s">
        <v>1260</v>
      </c>
      <c r="B747" s="21">
        <v>46269.0</v>
      </c>
      <c r="C747" s="30" t="s">
        <v>54</v>
      </c>
      <c r="D747" s="27" t="s">
        <v>321</v>
      </c>
      <c r="E747" s="27" t="s">
        <v>321</v>
      </c>
      <c r="F747" s="30" t="s">
        <v>103</v>
      </c>
      <c r="G747" s="30" t="s">
        <v>105</v>
      </c>
      <c r="H747" s="32">
        <v>198.35</v>
      </c>
      <c r="I747" s="40" t="s">
        <v>1248</v>
      </c>
      <c r="J747" s="40" t="s">
        <v>1248</v>
      </c>
      <c r="K747" s="19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</row>
    <row r="748" ht="22.5" customHeight="1">
      <c r="A748" s="19" t="s">
        <v>1261</v>
      </c>
      <c r="B748" s="21">
        <v>46269.0</v>
      </c>
      <c r="C748" s="30" t="s">
        <v>134</v>
      </c>
      <c r="D748" s="27" t="s">
        <v>258</v>
      </c>
      <c r="E748" s="27" t="s">
        <v>24</v>
      </c>
      <c r="F748" s="30" t="s">
        <v>11</v>
      </c>
      <c r="G748" s="30" t="s">
        <v>8</v>
      </c>
      <c r="H748" s="32">
        <v>-67.2</v>
      </c>
      <c r="I748" s="40" t="s">
        <v>1248</v>
      </c>
      <c r="J748" s="40" t="s">
        <v>1248</v>
      </c>
      <c r="K748" s="19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</row>
    <row r="749" ht="22.5" customHeight="1">
      <c r="A749" s="19" t="s">
        <v>1262</v>
      </c>
      <c r="B749" s="21">
        <v>46270.0</v>
      </c>
      <c r="C749" s="30" t="s">
        <v>54</v>
      </c>
      <c r="D749" s="27" t="s">
        <v>422</v>
      </c>
      <c r="E749" s="27" t="s">
        <v>423</v>
      </c>
      <c r="F749" s="30" t="s">
        <v>35</v>
      </c>
      <c r="G749" s="30" t="s">
        <v>251</v>
      </c>
      <c r="H749" s="32">
        <v>-68.4</v>
      </c>
      <c r="I749" s="40" t="s">
        <v>1248</v>
      </c>
      <c r="J749" s="40" t="s">
        <v>1248</v>
      </c>
      <c r="K749" s="27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</row>
    <row r="750" ht="22.5" customHeight="1">
      <c r="A750" s="19" t="s">
        <v>1263</v>
      </c>
      <c r="B750" s="21">
        <v>46274.0</v>
      </c>
      <c r="C750" s="30" t="s">
        <v>54</v>
      </c>
      <c r="D750" s="27" t="s">
        <v>317</v>
      </c>
      <c r="E750" s="27" t="s">
        <v>1264</v>
      </c>
      <c r="F750" s="30" t="s">
        <v>44</v>
      </c>
      <c r="G750" s="30" t="s">
        <v>283</v>
      </c>
      <c r="H750" s="32">
        <v>-135.0</v>
      </c>
      <c r="I750" s="40" t="s">
        <v>1248</v>
      </c>
      <c r="J750" s="40" t="s">
        <v>1248</v>
      </c>
      <c r="K750" s="19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</row>
    <row r="751" ht="22.5" customHeight="1">
      <c r="A751" s="19" t="s">
        <v>1265</v>
      </c>
      <c r="B751" s="21">
        <v>46275.0</v>
      </c>
      <c r="C751" s="30" t="s">
        <v>54</v>
      </c>
      <c r="D751" s="27" t="s">
        <v>385</v>
      </c>
      <c r="E751" s="27" t="s">
        <v>554</v>
      </c>
      <c r="F751" s="30" t="s">
        <v>11</v>
      </c>
      <c r="G751" s="30" t="s">
        <v>48</v>
      </c>
      <c r="H751" s="32">
        <v>-27.9</v>
      </c>
      <c r="I751" s="40">
        <v>80.0</v>
      </c>
      <c r="J751" s="40" t="s">
        <v>552</v>
      </c>
      <c r="K751" s="27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</row>
    <row r="752" ht="22.5" customHeight="1">
      <c r="A752" s="19" t="s">
        <v>1266</v>
      </c>
      <c r="B752" s="21">
        <v>46275.0</v>
      </c>
      <c r="C752" s="30" t="s">
        <v>134</v>
      </c>
      <c r="D752" s="27" t="s">
        <v>314</v>
      </c>
      <c r="E752" s="27" t="s">
        <v>507</v>
      </c>
      <c r="F752" s="30" t="s">
        <v>51</v>
      </c>
      <c r="G752" s="30" t="s">
        <v>283</v>
      </c>
      <c r="H752" s="32">
        <v>-160.0</v>
      </c>
      <c r="I752" s="40" t="s">
        <v>1248</v>
      </c>
      <c r="J752" s="40" t="s">
        <v>1248</v>
      </c>
      <c r="K752" s="19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</row>
    <row r="753" ht="22.5" customHeight="1">
      <c r="A753" s="19" t="s">
        <v>1267</v>
      </c>
      <c r="B753" s="21">
        <v>46275.0</v>
      </c>
      <c r="C753" s="30" t="s">
        <v>54</v>
      </c>
      <c r="D753" s="27" t="s">
        <v>385</v>
      </c>
      <c r="E753" s="27" t="s">
        <v>742</v>
      </c>
      <c r="F753" s="30" t="s">
        <v>11</v>
      </c>
      <c r="G753" s="30" t="s">
        <v>42</v>
      </c>
      <c r="H753" s="32">
        <v>-3.0</v>
      </c>
      <c r="I753" s="40">
        <v>2.0</v>
      </c>
      <c r="J753" s="40" t="s">
        <v>201</v>
      </c>
      <c r="K753" s="27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</row>
    <row r="754" ht="22.5" customHeight="1">
      <c r="A754" s="19" t="s">
        <v>1268</v>
      </c>
      <c r="B754" s="21">
        <v>46275.0</v>
      </c>
      <c r="C754" s="30" t="s">
        <v>142</v>
      </c>
      <c r="D754" s="27" t="s">
        <v>331</v>
      </c>
      <c r="E754" s="27" t="s">
        <v>285</v>
      </c>
      <c r="F754" s="30" t="s">
        <v>6</v>
      </c>
      <c r="G754" s="30" t="s">
        <v>285</v>
      </c>
      <c r="H754" s="32">
        <v>11.52</v>
      </c>
      <c r="I754" s="40" t="s">
        <v>1248</v>
      </c>
      <c r="J754" s="40" t="s">
        <v>1248</v>
      </c>
      <c r="K754" s="27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</row>
    <row r="755" ht="22.5" customHeight="1">
      <c r="A755" s="19" t="s">
        <v>1269</v>
      </c>
      <c r="B755" s="21">
        <v>46275.0</v>
      </c>
      <c r="C755" s="30" t="s">
        <v>54</v>
      </c>
      <c r="D755" s="27" t="s">
        <v>385</v>
      </c>
      <c r="E755" s="27" t="s">
        <v>790</v>
      </c>
      <c r="F755" s="30" t="s">
        <v>11</v>
      </c>
      <c r="G755" s="30" t="s">
        <v>42</v>
      </c>
      <c r="H755" s="32">
        <v>-25.1</v>
      </c>
      <c r="I755" s="40">
        <v>1.2</v>
      </c>
      <c r="J755" s="40" t="s">
        <v>188</v>
      </c>
      <c r="K755" s="27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</row>
    <row r="756" ht="22.5" customHeight="1">
      <c r="A756" s="19" t="s">
        <v>1270</v>
      </c>
      <c r="B756" s="21">
        <v>46275.0</v>
      </c>
      <c r="C756" s="30" t="s">
        <v>54</v>
      </c>
      <c r="D756" s="27" t="s">
        <v>385</v>
      </c>
      <c r="E756" s="27" t="s">
        <v>337</v>
      </c>
      <c r="F756" s="30" t="s">
        <v>11</v>
      </c>
      <c r="G756" s="30" t="s">
        <v>42</v>
      </c>
      <c r="H756" s="32">
        <v>-3.6</v>
      </c>
      <c r="I756" s="40">
        <v>1.36</v>
      </c>
      <c r="J756" s="40" t="s">
        <v>188</v>
      </c>
      <c r="K756" s="27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</row>
    <row r="757" ht="22.5" customHeight="1">
      <c r="A757" s="19" t="s">
        <v>1271</v>
      </c>
      <c r="B757" s="21">
        <v>46275.0</v>
      </c>
      <c r="C757" s="30" t="s">
        <v>54</v>
      </c>
      <c r="D757" s="27" t="s">
        <v>385</v>
      </c>
      <c r="E757" s="27" t="s">
        <v>398</v>
      </c>
      <c r="F757" s="30" t="s">
        <v>11</v>
      </c>
      <c r="G757" s="30" t="s">
        <v>42</v>
      </c>
      <c r="H757" s="32">
        <v>-2.7</v>
      </c>
      <c r="I757" s="40">
        <v>2.0</v>
      </c>
      <c r="J757" s="40" t="s">
        <v>399</v>
      </c>
      <c r="K757" s="27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</row>
    <row r="758" ht="22.5" customHeight="1">
      <c r="A758" s="19" t="s">
        <v>1272</v>
      </c>
      <c r="B758" s="21">
        <v>46275.0</v>
      </c>
      <c r="C758" s="30" t="s">
        <v>54</v>
      </c>
      <c r="D758" s="27" t="s">
        <v>385</v>
      </c>
      <c r="E758" s="27" t="s">
        <v>394</v>
      </c>
      <c r="F758" s="30" t="s">
        <v>11</v>
      </c>
      <c r="G758" s="30" t="s">
        <v>42</v>
      </c>
      <c r="H758" s="32">
        <v>-6.2</v>
      </c>
      <c r="I758" s="40">
        <v>1.6</v>
      </c>
      <c r="J758" s="40" t="s">
        <v>188</v>
      </c>
      <c r="K758" s="19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</row>
    <row r="759" ht="22.5" customHeight="1">
      <c r="A759" s="19" t="s">
        <v>1273</v>
      </c>
      <c r="B759" s="21">
        <v>46275.0</v>
      </c>
      <c r="C759" s="30" t="s">
        <v>54</v>
      </c>
      <c r="D759" s="27" t="s">
        <v>385</v>
      </c>
      <c r="E759" s="27" t="s">
        <v>309</v>
      </c>
      <c r="F759" s="30" t="s">
        <v>11</v>
      </c>
      <c r="G759" s="30" t="s">
        <v>42</v>
      </c>
      <c r="H759" s="32">
        <v>-5.2</v>
      </c>
      <c r="I759" s="40">
        <v>2.0</v>
      </c>
      <c r="J759" s="40" t="s">
        <v>310</v>
      </c>
      <c r="K759" s="19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</row>
    <row r="760" ht="22.5" customHeight="1">
      <c r="A760" s="19" t="s">
        <v>1274</v>
      </c>
      <c r="B760" s="21">
        <v>46276.0</v>
      </c>
      <c r="C760" s="30" t="s">
        <v>102</v>
      </c>
      <c r="D760" s="27" t="s">
        <v>22</v>
      </c>
      <c r="E760" s="27" t="s">
        <v>22</v>
      </c>
      <c r="F760" s="30" t="s">
        <v>103</v>
      </c>
      <c r="G760" s="30" t="s">
        <v>105</v>
      </c>
      <c r="H760" s="32">
        <v>500.0</v>
      </c>
      <c r="I760" s="40" t="s">
        <v>1248</v>
      </c>
      <c r="J760" s="40" t="s">
        <v>1248</v>
      </c>
      <c r="K760" s="19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</row>
    <row r="761" ht="22.5" customHeight="1">
      <c r="A761" s="19" t="s">
        <v>1275</v>
      </c>
      <c r="B761" s="21">
        <v>46276.0</v>
      </c>
      <c r="C761" s="30" t="s">
        <v>34</v>
      </c>
      <c r="D761" s="27" t="s">
        <v>22</v>
      </c>
      <c r="E761" s="27" t="s">
        <v>22</v>
      </c>
      <c r="F761" s="30" t="s">
        <v>22</v>
      </c>
      <c r="G761" s="30" t="s">
        <v>92</v>
      </c>
      <c r="H761" s="32">
        <v>-500.0</v>
      </c>
      <c r="I761" s="40" t="s">
        <v>1248</v>
      </c>
      <c r="J761" s="40" t="s">
        <v>1248</v>
      </c>
      <c r="K761" s="19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</row>
    <row r="762" ht="22.5" customHeight="1">
      <c r="A762" s="19" t="s">
        <v>1276</v>
      </c>
      <c r="B762" s="21">
        <v>46276.0</v>
      </c>
      <c r="C762" s="30" t="s">
        <v>34</v>
      </c>
      <c r="D762" s="27" t="s">
        <v>78</v>
      </c>
      <c r="E762" s="27" t="s">
        <v>70</v>
      </c>
      <c r="F762" s="30" t="s">
        <v>6</v>
      </c>
      <c r="G762" s="30" t="s">
        <v>70</v>
      </c>
      <c r="H762" s="32">
        <v>1560.23</v>
      </c>
      <c r="I762" s="40" t="s">
        <v>1248</v>
      </c>
      <c r="J762" s="40" t="s">
        <v>1248</v>
      </c>
      <c r="K762" s="19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</row>
    <row r="763" ht="22.5" customHeight="1">
      <c r="A763" s="19" t="s">
        <v>1277</v>
      </c>
      <c r="B763" s="21">
        <v>46276.0</v>
      </c>
      <c r="C763" s="30" t="s">
        <v>34</v>
      </c>
      <c r="D763" s="27" t="s">
        <v>69</v>
      </c>
      <c r="E763" s="27" t="s">
        <v>70</v>
      </c>
      <c r="F763" s="30" t="s">
        <v>6</v>
      </c>
      <c r="G763" s="30" t="s">
        <v>70</v>
      </c>
      <c r="H763" s="32">
        <v>2010.98</v>
      </c>
      <c r="I763" s="40" t="s">
        <v>1248</v>
      </c>
      <c r="J763" s="40" t="s">
        <v>1248</v>
      </c>
      <c r="K763" s="19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</row>
    <row r="764" ht="22.5" customHeight="1">
      <c r="A764" s="19" t="s">
        <v>1278</v>
      </c>
      <c r="B764" s="21">
        <v>46276.0</v>
      </c>
      <c r="C764" s="30" t="s">
        <v>34</v>
      </c>
      <c r="D764" s="27" t="s">
        <v>17</v>
      </c>
      <c r="E764" s="27" t="s">
        <v>17</v>
      </c>
      <c r="F764" s="30" t="s">
        <v>17</v>
      </c>
      <c r="G764" s="30" t="s">
        <v>297</v>
      </c>
      <c r="H764" s="32">
        <v>-1000.0</v>
      </c>
      <c r="I764" s="40" t="s">
        <v>1248</v>
      </c>
      <c r="J764" s="40" t="s">
        <v>1248</v>
      </c>
      <c r="K764" s="19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</row>
    <row r="765" ht="22.5" customHeight="1">
      <c r="A765" s="19" t="s">
        <v>1279</v>
      </c>
      <c r="B765" s="21">
        <v>46276.0</v>
      </c>
      <c r="C765" s="30" t="s">
        <v>52</v>
      </c>
      <c r="D765" s="27" t="s">
        <v>17</v>
      </c>
      <c r="E765" s="27" t="s">
        <v>17</v>
      </c>
      <c r="F765" s="30" t="s">
        <v>103</v>
      </c>
      <c r="G765" s="30" t="s">
        <v>105</v>
      </c>
      <c r="H765" s="32">
        <v>1000.0</v>
      </c>
      <c r="I765" s="40" t="s">
        <v>1248</v>
      </c>
      <c r="J765" s="40" t="s">
        <v>1248</v>
      </c>
      <c r="K765" s="19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</row>
    <row r="766" ht="22.5" customHeight="1">
      <c r="A766" s="19" t="s">
        <v>1280</v>
      </c>
      <c r="B766" s="21">
        <v>46276.0</v>
      </c>
      <c r="C766" s="30" t="s">
        <v>54</v>
      </c>
      <c r="D766" s="27" t="s">
        <v>334</v>
      </c>
      <c r="E766" s="27" t="s">
        <v>335</v>
      </c>
      <c r="F766" s="30" t="s">
        <v>35</v>
      </c>
      <c r="G766" s="30" t="s">
        <v>294</v>
      </c>
      <c r="H766" s="32">
        <v>-20.04</v>
      </c>
      <c r="I766" s="40" t="s">
        <v>1248</v>
      </c>
      <c r="J766" s="40" t="s">
        <v>1248</v>
      </c>
      <c r="K766" s="19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</row>
    <row r="767" ht="22.5" customHeight="1">
      <c r="A767" s="19" t="s">
        <v>1281</v>
      </c>
      <c r="B767" s="21">
        <v>46276.0</v>
      </c>
      <c r="C767" s="30" t="s">
        <v>34</v>
      </c>
      <c r="D767" s="27" t="s">
        <v>22</v>
      </c>
      <c r="E767" s="27" t="s">
        <v>22</v>
      </c>
      <c r="F767" s="30" t="s">
        <v>22</v>
      </c>
      <c r="G767" s="30" t="s">
        <v>92</v>
      </c>
      <c r="H767" s="32">
        <v>-500.0</v>
      </c>
      <c r="I767" s="40" t="s">
        <v>1248</v>
      </c>
      <c r="J767" s="40" t="s">
        <v>1248</v>
      </c>
      <c r="K767" s="19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</row>
    <row r="768" ht="22.5" customHeight="1">
      <c r="A768" s="19" t="s">
        <v>1282</v>
      </c>
      <c r="B768" s="21">
        <v>46276.0</v>
      </c>
      <c r="C768" s="30" t="s">
        <v>121</v>
      </c>
      <c r="D768" s="27" t="s">
        <v>22</v>
      </c>
      <c r="E768" s="27" t="s">
        <v>22</v>
      </c>
      <c r="F768" s="30" t="s">
        <v>103</v>
      </c>
      <c r="G768" s="30" t="s">
        <v>105</v>
      </c>
      <c r="H768" s="32">
        <v>500.0</v>
      </c>
      <c r="I768" s="40" t="s">
        <v>1248</v>
      </c>
      <c r="J768" s="40" t="s">
        <v>1248</v>
      </c>
      <c r="K768" s="19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</row>
    <row r="769" ht="22.5" customHeight="1">
      <c r="A769" s="19" t="s">
        <v>1283</v>
      </c>
      <c r="B769" s="21">
        <v>46276.0</v>
      </c>
      <c r="C769" s="30" t="s">
        <v>34</v>
      </c>
      <c r="D769" s="27" t="s">
        <v>321</v>
      </c>
      <c r="E769" s="27" t="s">
        <v>321</v>
      </c>
      <c r="F769" s="30" t="s">
        <v>103</v>
      </c>
      <c r="G769" s="30" t="s">
        <v>279</v>
      </c>
      <c r="H769" s="32">
        <v>-297.14</v>
      </c>
      <c r="I769" s="40" t="s">
        <v>1248</v>
      </c>
      <c r="J769" s="40" t="s">
        <v>1248</v>
      </c>
      <c r="K769" s="19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</row>
    <row r="770" ht="22.5" customHeight="1">
      <c r="A770" s="19" t="s">
        <v>1284</v>
      </c>
      <c r="B770" s="21">
        <v>46276.0</v>
      </c>
      <c r="C770" s="30" t="s">
        <v>54</v>
      </c>
      <c r="D770" s="27" t="s">
        <v>321</v>
      </c>
      <c r="E770" s="27" t="s">
        <v>321</v>
      </c>
      <c r="F770" s="30" t="s">
        <v>103</v>
      </c>
      <c r="G770" s="30" t="s">
        <v>105</v>
      </c>
      <c r="H770" s="32">
        <v>297.14</v>
      </c>
      <c r="I770" s="40" t="s">
        <v>1248</v>
      </c>
      <c r="J770" s="40" t="s">
        <v>1248</v>
      </c>
      <c r="K770" s="27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</row>
    <row r="771" ht="22.5" customHeight="1">
      <c r="A771" s="19" t="s">
        <v>1285</v>
      </c>
      <c r="B771" s="21">
        <v>46277.0</v>
      </c>
      <c r="C771" s="30" t="s">
        <v>54</v>
      </c>
      <c r="D771" s="27" t="s">
        <v>846</v>
      </c>
      <c r="E771" s="27" t="s">
        <v>847</v>
      </c>
      <c r="F771" s="30" t="s">
        <v>35</v>
      </c>
      <c r="G771" s="30" t="s">
        <v>251</v>
      </c>
      <c r="H771" s="32">
        <v>-64.9</v>
      </c>
      <c r="I771" s="40" t="s">
        <v>1248</v>
      </c>
      <c r="J771" s="40" t="s">
        <v>1248</v>
      </c>
      <c r="K771" s="19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</row>
    <row r="772" ht="22.5" customHeight="1">
      <c r="A772" s="19" t="s">
        <v>1286</v>
      </c>
      <c r="B772" s="21">
        <v>46277.0</v>
      </c>
      <c r="C772" s="30" t="s">
        <v>54</v>
      </c>
      <c r="D772" s="27" t="s">
        <v>158</v>
      </c>
      <c r="E772" s="27" t="s">
        <v>159</v>
      </c>
      <c r="F772" s="30" t="s">
        <v>11</v>
      </c>
      <c r="G772" s="30" t="s">
        <v>57</v>
      </c>
      <c r="H772" s="32">
        <v>-161.3</v>
      </c>
      <c r="I772" s="40">
        <v>30.0</v>
      </c>
      <c r="J772" s="40" t="s">
        <v>161</v>
      </c>
      <c r="K772" s="27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</row>
    <row r="773" ht="22.5" customHeight="1">
      <c r="A773" s="19" t="s">
        <v>1287</v>
      </c>
      <c r="B773" s="21">
        <v>46278.0</v>
      </c>
      <c r="C773" s="30" t="s">
        <v>34</v>
      </c>
      <c r="D773" s="27" t="s">
        <v>340</v>
      </c>
      <c r="E773" s="27" t="s">
        <v>20</v>
      </c>
      <c r="F773" s="30" t="s">
        <v>11</v>
      </c>
      <c r="G773" s="30" t="s">
        <v>8</v>
      </c>
      <c r="H773" s="32">
        <v>-89.3</v>
      </c>
      <c r="I773" s="40" t="s">
        <v>1248</v>
      </c>
      <c r="J773" s="40" t="s">
        <v>1248</v>
      </c>
      <c r="K773" s="19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</row>
    <row r="774" ht="22.5" customHeight="1">
      <c r="A774" s="19" t="s">
        <v>1288</v>
      </c>
      <c r="B774" s="21">
        <v>46280.0</v>
      </c>
      <c r="C774" s="30" t="s">
        <v>54</v>
      </c>
      <c r="D774" s="27" t="s">
        <v>164</v>
      </c>
      <c r="E774" s="27" t="s">
        <v>1289</v>
      </c>
      <c r="F774" s="30" t="s">
        <v>11</v>
      </c>
      <c r="G774" s="30" t="s">
        <v>66</v>
      </c>
      <c r="H774" s="32">
        <v>-14.9</v>
      </c>
      <c r="I774" s="40">
        <v>24.0</v>
      </c>
      <c r="J774" s="40" t="s">
        <v>438</v>
      </c>
      <c r="K774" s="27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</row>
    <row r="775" ht="22.5" customHeight="1">
      <c r="A775" s="19" t="s">
        <v>1290</v>
      </c>
      <c r="B775" s="21">
        <v>46281.0</v>
      </c>
      <c r="C775" s="30" t="s">
        <v>54</v>
      </c>
      <c r="D775" s="27" t="s">
        <v>158</v>
      </c>
      <c r="E775" s="27" t="s">
        <v>665</v>
      </c>
      <c r="F775" s="30" t="s">
        <v>61</v>
      </c>
      <c r="G775" s="30" t="s">
        <v>272</v>
      </c>
      <c r="H775" s="32">
        <v>-31.2</v>
      </c>
      <c r="I775" s="40" t="s">
        <v>1248</v>
      </c>
      <c r="J775" s="40" t="s">
        <v>1248</v>
      </c>
      <c r="K775" s="27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</row>
    <row r="776" ht="22.5" customHeight="1">
      <c r="A776" s="19" t="s">
        <v>1291</v>
      </c>
      <c r="B776" s="21">
        <v>46282.0</v>
      </c>
      <c r="C776" s="30" t="s">
        <v>54</v>
      </c>
      <c r="D776" s="27" t="s">
        <v>475</v>
      </c>
      <c r="E776" s="27" t="s">
        <v>346</v>
      </c>
      <c r="F776" s="30" t="s">
        <v>11</v>
      </c>
      <c r="G776" s="30" t="s">
        <v>42</v>
      </c>
      <c r="H776" s="32">
        <v>-5.2</v>
      </c>
      <c r="I776" s="40">
        <v>1.05</v>
      </c>
      <c r="J776" s="40" t="s">
        <v>188</v>
      </c>
      <c r="K776" s="27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</row>
    <row r="777" ht="22.5" customHeight="1">
      <c r="A777" s="19" t="s">
        <v>1292</v>
      </c>
      <c r="B777" s="21">
        <v>46282.0</v>
      </c>
      <c r="C777" s="30" t="s">
        <v>54</v>
      </c>
      <c r="D777" s="27" t="s">
        <v>475</v>
      </c>
      <c r="E777" s="27" t="s">
        <v>213</v>
      </c>
      <c r="F777" s="30" t="s">
        <v>11</v>
      </c>
      <c r="G777" s="30" t="s">
        <v>42</v>
      </c>
      <c r="H777" s="32">
        <v>-27.0</v>
      </c>
      <c r="I777" s="40">
        <v>1.4</v>
      </c>
      <c r="J777" s="40" t="s">
        <v>188</v>
      </c>
      <c r="K777" s="27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</row>
    <row r="778" ht="22.5" customHeight="1">
      <c r="A778" s="19" t="s">
        <v>1293</v>
      </c>
      <c r="B778" s="21">
        <v>46282.0</v>
      </c>
      <c r="C778" s="30" t="s">
        <v>54</v>
      </c>
      <c r="D778" s="27" t="s">
        <v>475</v>
      </c>
      <c r="E778" s="27" t="s">
        <v>574</v>
      </c>
      <c r="F778" s="30" t="s">
        <v>11</v>
      </c>
      <c r="G778" s="30" t="s">
        <v>42</v>
      </c>
      <c r="H778" s="32">
        <v>-11.5</v>
      </c>
      <c r="I778" s="40">
        <v>0.8</v>
      </c>
      <c r="J778" s="40" t="s">
        <v>188</v>
      </c>
      <c r="K778" s="27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</row>
    <row r="779" ht="22.5" customHeight="1">
      <c r="A779" s="19" t="s">
        <v>1294</v>
      </c>
      <c r="B779" s="21">
        <v>46282.0</v>
      </c>
      <c r="C779" s="30" t="s">
        <v>54</v>
      </c>
      <c r="D779" s="27" t="s">
        <v>475</v>
      </c>
      <c r="E779" s="27" t="s">
        <v>586</v>
      </c>
      <c r="F779" s="30" t="s">
        <v>11</v>
      </c>
      <c r="G779" s="30" t="s">
        <v>42</v>
      </c>
      <c r="H779" s="32">
        <v>-5.65</v>
      </c>
      <c r="I779" s="40">
        <v>1.25</v>
      </c>
      <c r="J779" s="40" t="s">
        <v>188</v>
      </c>
      <c r="K779" s="19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</row>
    <row r="780" ht="22.5" customHeight="1">
      <c r="A780" s="19" t="s">
        <v>1295</v>
      </c>
      <c r="B780" s="21">
        <v>46282.0</v>
      </c>
      <c r="C780" s="30" t="s">
        <v>54</v>
      </c>
      <c r="D780" s="27" t="s">
        <v>475</v>
      </c>
      <c r="E780" s="27" t="s">
        <v>602</v>
      </c>
      <c r="F780" s="30" t="s">
        <v>11</v>
      </c>
      <c r="G780" s="30" t="s">
        <v>42</v>
      </c>
      <c r="H780" s="32">
        <v>-26.1</v>
      </c>
      <c r="I780" s="40">
        <v>1.6</v>
      </c>
      <c r="J780" s="40" t="s">
        <v>188</v>
      </c>
      <c r="K780" s="27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</row>
    <row r="781" ht="22.5" customHeight="1">
      <c r="A781" s="19" t="s">
        <v>1296</v>
      </c>
      <c r="B781" s="21">
        <v>46282.0</v>
      </c>
      <c r="C781" s="30" t="s">
        <v>54</v>
      </c>
      <c r="D781" s="27" t="s">
        <v>475</v>
      </c>
      <c r="E781" s="27" t="s">
        <v>539</v>
      </c>
      <c r="F781" s="30" t="s">
        <v>11</v>
      </c>
      <c r="G781" s="30" t="s">
        <v>48</v>
      </c>
      <c r="H781" s="32">
        <v>-6.2</v>
      </c>
      <c r="I781" s="40" t="s">
        <v>1248</v>
      </c>
      <c r="J781" s="40" t="s">
        <v>1248</v>
      </c>
      <c r="K781" s="19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</row>
    <row r="782" ht="22.5" customHeight="1">
      <c r="A782" s="19" t="s">
        <v>1297</v>
      </c>
      <c r="B782" s="21">
        <v>46282.0</v>
      </c>
      <c r="C782" s="30" t="s">
        <v>54</v>
      </c>
      <c r="D782" s="27" t="s">
        <v>475</v>
      </c>
      <c r="E782" s="27" t="s">
        <v>643</v>
      </c>
      <c r="F782" s="30" t="s">
        <v>11</v>
      </c>
      <c r="G782" s="30" t="s">
        <v>42</v>
      </c>
      <c r="H782" s="32">
        <v>-19.7</v>
      </c>
      <c r="I782" s="40">
        <v>1.0</v>
      </c>
      <c r="J782" s="40" t="s">
        <v>188</v>
      </c>
      <c r="K782" s="19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</row>
    <row r="783" ht="22.5" customHeight="1">
      <c r="A783" s="19" t="s">
        <v>1298</v>
      </c>
      <c r="B783" s="21">
        <v>46283.0</v>
      </c>
      <c r="C783" s="30" t="s">
        <v>54</v>
      </c>
      <c r="D783" s="27" t="s">
        <v>321</v>
      </c>
      <c r="E783" s="27" t="s">
        <v>321</v>
      </c>
      <c r="F783" s="30" t="s">
        <v>103</v>
      </c>
      <c r="G783" s="30" t="s">
        <v>105</v>
      </c>
      <c r="H783" s="32">
        <v>373.65</v>
      </c>
      <c r="I783" s="40" t="s">
        <v>1248</v>
      </c>
      <c r="J783" s="40" t="s">
        <v>1248</v>
      </c>
      <c r="K783" s="19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</row>
    <row r="784" ht="22.5" customHeight="1">
      <c r="A784" s="19" t="s">
        <v>1299</v>
      </c>
      <c r="B784" s="21">
        <v>46283.0</v>
      </c>
      <c r="C784" s="30" t="s">
        <v>34</v>
      </c>
      <c r="D784" s="27" t="s">
        <v>321</v>
      </c>
      <c r="E784" s="27" t="s">
        <v>321</v>
      </c>
      <c r="F784" s="30" t="s">
        <v>103</v>
      </c>
      <c r="G784" s="30" t="s">
        <v>279</v>
      </c>
      <c r="H784" s="32">
        <v>-373.65</v>
      </c>
      <c r="I784" s="40" t="s">
        <v>1248</v>
      </c>
      <c r="J784" s="40" t="s">
        <v>1248</v>
      </c>
      <c r="K784" s="19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</row>
    <row r="785" ht="22.5" customHeight="1">
      <c r="A785" s="19" t="s">
        <v>1300</v>
      </c>
      <c r="B785" s="21">
        <v>46284.0</v>
      </c>
      <c r="C785" s="30" t="s">
        <v>54</v>
      </c>
      <c r="D785" s="27" t="s">
        <v>758</v>
      </c>
      <c r="E785" s="27" t="s">
        <v>759</v>
      </c>
      <c r="F785" s="30" t="s">
        <v>35</v>
      </c>
      <c r="G785" s="30" t="s">
        <v>251</v>
      </c>
      <c r="H785" s="32">
        <v>-51.6</v>
      </c>
      <c r="I785" s="40" t="s">
        <v>1248</v>
      </c>
      <c r="J785" s="40" t="s">
        <v>1248</v>
      </c>
      <c r="K785" s="19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</row>
    <row r="786" ht="22.5" customHeight="1">
      <c r="A786" s="19" t="s">
        <v>1301</v>
      </c>
      <c r="B786" s="21">
        <v>46285.0</v>
      </c>
      <c r="C786" s="30" t="s">
        <v>54</v>
      </c>
      <c r="D786" s="27" t="s">
        <v>328</v>
      </c>
      <c r="E786" s="27" t="s">
        <v>1302</v>
      </c>
      <c r="F786" s="30" t="s">
        <v>35</v>
      </c>
      <c r="G786" s="30" t="s">
        <v>277</v>
      </c>
      <c r="H786" s="32">
        <v>-26.5</v>
      </c>
      <c r="I786" s="40" t="s">
        <v>1248</v>
      </c>
      <c r="J786" s="40" t="s">
        <v>1248</v>
      </c>
      <c r="K786" s="27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</row>
    <row r="787" ht="22.5" customHeight="1">
      <c r="A787" s="19" t="s">
        <v>1303</v>
      </c>
      <c r="B787" s="21">
        <v>46286.0</v>
      </c>
      <c r="C787" s="30" t="s">
        <v>54</v>
      </c>
      <c r="D787" s="27" t="s">
        <v>361</v>
      </c>
      <c r="E787" s="27" t="s">
        <v>1304</v>
      </c>
      <c r="F787" s="30" t="s">
        <v>44</v>
      </c>
      <c r="G787" s="30" t="s">
        <v>271</v>
      </c>
      <c r="H787" s="32">
        <v>-74.9</v>
      </c>
      <c r="I787" s="40" t="s">
        <v>1248</v>
      </c>
      <c r="J787" s="40" t="s">
        <v>1248</v>
      </c>
      <c r="K787" s="27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</row>
    <row r="788" ht="22.5" customHeight="1">
      <c r="A788" s="19" t="s">
        <v>1305</v>
      </c>
      <c r="B788" s="21">
        <v>46287.0</v>
      </c>
      <c r="C788" s="30" t="s">
        <v>54</v>
      </c>
      <c r="D788" s="27" t="s">
        <v>164</v>
      </c>
      <c r="E788" s="27" t="s">
        <v>622</v>
      </c>
      <c r="F788" s="30" t="s">
        <v>11</v>
      </c>
      <c r="G788" s="30" t="s">
        <v>42</v>
      </c>
      <c r="H788" s="32">
        <v>-8.0</v>
      </c>
      <c r="I788" s="40">
        <v>2.0</v>
      </c>
      <c r="J788" s="40" t="s">
        <v>487</v>
      </c>
      <c r="K788" s="27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</row>
    <row r="789" ht="22.5" customHeight="1">
      <c r="A789" s="19" t="s">
        <v>1306</v>
      </c>
      <c r="B789" s="21">
        <v>46287.0</v>
      </c>
      <c r="C789" s="30" t="s">
        <v>54</v>
      </c>
      <c r="D789" s="27" t="s">
        <v>164</v>
      </c>
      <c r="E789" s="27" t="s">
        <v>274</v>
      </c>
      <c r="F789" s="30" t="s">
        <v>11</v>
      </c>
      <c r="G789" s="30" t="s">
        <v>42</v>
      </c>
      <c r="H789" s="32">
        <v>-6.1</v>
      </c>
      <c r="I789" s="40">
        <v>0.75</v>
      </c>
      <c r="J789" s="40" t="s">
        <v>166</v>
      </c>
      <c r="K789" s="27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</row>
    <row r="790" ht="22.5" customHeight="1">
      <c r="A790" s="19" t="s">
        <v>1307</v>
      </c>
      <c r="B790" s="21">
        <v>46287.0</v>
      </c>
      <c r="C790" s="30" t="s">
        <v>54</v>
      </c>
      <c r="D790" s="27" t="s">
        <v>164</v>
      </c>
      <c r="E790" s="27" t="s">
        <v>463</v>
      </c>
      <c r="F790" s="30" t="s">
        <v>11</v>
      </c>
      <c r="G790" s="30" t="s">
        <v>42</v>
      </c>
      <c r="H790" s="32">
        <v>-25.0</v>
      </c>
      <c r="I790" s="40">
        <v>0.907</v>
      </c>
      <c r="J790" s="40" t="s">
        <v>188</v>
      </c>
      <c r="K790" s="27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</row>
    <row r="791" ht="22.5" customHeight="1">
      <c r="A791" s="19" t="s">
        <v>1308</v>
      </c>
      <c r="B791" s="21">
        <v>46287.0</v>
      </c>
      <c r="C791" s="30" t="s">
        <v>54</v>
      </c>
      <c r="D791" s="27" t="s">
        <v>164</v>
      </c>
      <c r="E791" s="27" t="s">
        <v>557</v>
      </c>
      <c r="F791" s="30" t="s">
        <v>11</v>
      </c>
      <c r="G791" s="30" t="s">
        <v>42</v>
      </c>
      <c r="H791" s="32">
        <v>-3.2</v>
      </c>
      <c r="I791" s="40">
        <v>1.0</v>
      </c>
      <c r="J791" s="40" t="s">
        <v>166</v>
      </c>
      <c r="K791" s="19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</row>
    <row r="792" ht="22.5" customHeight="1">
      <c r="A792" s="19" t="s">
        <v>1309</v>
      </c>
      <c r="B792" s="21">
        <v>46287.0</v>
      </c>
      <c r="C792" s="30" t="s">
        <v>54</v>
      </c>
      <c r="D792" s="27" t="s">
        <v>164</v>
      </c>
      <c r="E792" s="27" t="s">
        <v>386</v>
      </c>
      <c r="F792" s="30" t="s">
        <v>11</v>
      </c>
      <c r="G792" s="30" t="s">
        <v>42</v>
      </c>
      <c r="H792" s="32">
        <v>-5.0</v>
      </c>
      <c r="I792" s="40">
        <v>0.46</v>
      </c>
      <c r="J792" s="40" t="s">
        <v>188</v>
      </c>
      <c r="K792" s="19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</row>
    <row r="793" ht="22.5" customHeight="1">
      <c r="A793" s="19" t="s">
        <v>1310</v>
      </c>
      <c r="B793" s="21">
        <v>46288.0</v>
      </c>
      <c r="C793" s="30" t="s">
        <v>134</v>
      </c>
      <c r="D793" s="27" t="s">
        <v>419</v>
      </c>
      <c r="E793" s="27" t="s">
        <v>15</v>
      </c>
      <c r="F793" s="30" t="s">
        <v>11</v>
      </c>
      <c r="G793" s="30" t="s">
        <v>8</v>
      </c>
      <c r="H793" s="32">
        <v>-145.6</v>
      </c>
      <c r="I793" s="40" t="s">
        <v>1248</v>
      </c>
      <c r="J793" s="40" t="s">
        <v>1248</v>
      </c>
      <c r="K793" s="19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</row>
    <row r="794" ht="22.5" customHeight="1">
      <c r="A794" s="19" t="s">
        <v>1311</v>
      </c>
      <c r="B794" s="21">
        <v>46289.0</v>
      </c>
      <c r="C794" s="30" t="s">
        <v>134</v>
      </c>
      <c r="D794" s="27" t="s">
        <v>696</v>
      </c>
      <c r="E794" s="27" t="s">
        <v>1312</v>
      </c>
      <c r="F794" s="30" t="s">
        <v>51</v>
      </c>
      <c r="G794" s="30" t="s">
        <v>271</v>
      </c>
      <c r="H794" s="32">
        <v>-56.0</v>
      </c>
      <c r="I794" s="40" t="s">
        <v>1248</v>
      </c>
      <c r="J794" s="40" t="s">
        <v>1248</v>
      </c>
      <c r="K794" s="19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</row>
    <row r="795" ht="22.5" customHeight="1">
      <c r="A795" s="19" t="s">
        <v>1313</v>
      </c>
      <c r="B795" s="21">
        <v>46290.0</v>
      </c>
      <c r="C795" s="30" t="s">
        <v>34</v>
      </c>
      <c r="D795" s="27" t="s">
        <v>78</v>
      </c>
      <c r="E795" s="27" t="s">
        <v>70</v>
      </c>
      <c r="F795" s="30" t="s">
        <v>6</v>
      </c>
      <c r="G795" s="30" t="s">
        <v>70</v>
      </c>
      <c r="H795" s="32">
        <v>1560.23</v>
      </c>
      <c r="I795" s="40"/>
      <c r="J795" s="40"/>
      <c r="K795" s="19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</row>
    <row r="796" ht="22.5" customHeight="1">
      <c r="A796" s="19" t="s">
        <v>1314</v>
      </c>
      <c r="B796" s="21">
        <v>46290.0</v>
      </c>
      <c r="C796" s="30" t="s">
        <v>34</v>
      </c>
      <c r="D796" s="27" t="s">
        <v>69</v>
      </c>
      <c r="E796" s="27" t="s">
        <v>70</v>
      </c>
      <c r="F796" s="30" t="s">
        <v>6</v>
      </c>
      <c r="G796" s="30" t="s">
        <v>70</v>
      </c>
      <c r="H796" s="32">
        <v>2010.98</v>
      </c>
      <c r="I796" s="40"/>
      <c r="J796" s="40"/>
      <c r="K796" s="19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</row>
  </sheetData>
  <conditionalFormatting sqref="H2:H796">
    <cfRule type="cellIs" dxfId="8" priority="1" operator="lessThan">
      <formula>0</formula>
    </cfRule>
  </conditionalFormatting>
  <conditionalFormatting sqref="H2:H796">
    <cfRule type="cellIs" dxfId="9" priority="2" operator="greaterThanOrEqual">
      <formula>0</formula>
    </cfRule>
  </conditionalFormatting>
  <dataValidations>
    <dataValidation type="custom" allowBlank="1" showDropDown="1" sqref="B2:B796">
      <formula1>OR(NOT(ISERROR(DATEVALUE(B2))), AND(ISNUMBER(B2), LEFT(CELL("format", B2))="D"))</formula1>
    </dataValidation>
    <dataValidation type="custom" allowBlank="1" showDropDown="1" sqref="H2:H796">
      <formula1>AND(ISNUMBER(H2),(NOT(OR(NOT(ISERROR(DATEVALUE(H2))), AND(ISNUMBER(H2), LEFT(CELL("format", H2))="D")))))</formula1>
    </dataValidation>
    <dataValidation allowBlank="1" showDropDown="1" sqref="A2:A796 D2:E796 K2:K796"/>
    <dataValidation type="list" allowBlank="1" sqref="C2:C796 F2:G796">
      <formula1>#REF!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7" max="17" width="17.5"/>
  </cols>
  <sheetData>
    <row r="1">
      <c r="A1" s="2" t="s">
        <v>2</v>
      </c>
      <c r="B1" s="4">
        <f t="array" ref="B1:M1">TRANSPOSE(Dropdowns!B2:B13)</f>
        <v>46023</v>
      </c>
      <c r="C1" s="4">
        <v>46054.0</v>
      </c>
      <c r="D1" s="4">
        <v>46082.0</v>
      </c>
      <c r="E1" s="4">
        <v>46113.0</v>
      </c>
      <c r="F1" s="4">
        <v>46143.0</v>
      </c>
      <c r="G1" s="4">
        <v>46174.0</v>
      </c>
      <c r="H1" s="4">
        <v>46204.0</v>
      </c>
      <c r="I1" s="4">
        <v>46235.0</v>
      </c>
      <c r="J1" s="4">
        <v>46266.0</v>
      </c>
      <c r="K1" s="4">
        <v>46296.0</v>
      </c>
      <c r="L1" s="4">
        <v>46327.0</v>
      </c>
      <c r="M1" s="4">
        <v>46357.0</v>
      </c>
      <c r="N1" s="5"/>
      <c r="P1" s="6" t="s">
        <v>3</v>
      </c>
      <c r="Q1" s="6" t="s">
        <v>4</v>
      </c>
      <c r="R1" s="7">
        <f t="array" ref="R1:AC1">TRANSPOSE(Dropdowns!B2:B13)</f>
        <v>46023</v>
      </c>
      <c r="S1" s="7">
        <v>46054.0</v>
      </c>
      <c r="T1" s="7">
        <v>46082.0</v>
      </c>
      <c r="U1" s="7">
        <v>46113.0</v>
      </c>
      <c r="V1" s="7">
        <v>46143.0</v>
      </c>
      <c r="W1" s="7">
        <v>46174.0</v>
      </c>
      <c r="X1" s="7">
        <v>46204.0</v>
      </c>
      <c r="Y1" s="7">
        <v>46235.0</v>
      </c>
      <c r="Z1" s="7">
        <v>46266.0</v>
      </c>
      <c r="AA1" s="7">
        <v>46296.0</v>
      </c>
      <c r="AB1" s="7">
        <v>46327.0</v>
      </c>
      <c r="AC1" s="7">
        <v>46357.0</v>
      </c>
    </row>
    <row r="2">
      <c r="A2" s="8" t="s">
        <v>6</v>
      </c>
      <c r="B2" s="9">
        <v>7100.0</v>
      </c>
      <c r="C2" s="9">
        <v>7100.0</v>
      </c>
      <c r="D2" s="9">
        <v>7100.0</v>
      </c>
      <c r="E2" s="9">
        <v>7100.0</v>
      </c>
      <c r="F2" s="9">
        <v>7100.0</v>
      </c>
      <c r="G2" s="9">
        <v>7100.0</v>
      </c>
      <c r="H2" s="9">
        <v>7100.0</v>
      </c>
      <c r="I2" s="9">
        <v>7100.0</v>
      </c>
      <c r="J2" s="9">
        <v>7100.0</v>
      </c>
      <c r="K2" s="9">
        <v>7100.0</v>
      </c>
      <c r="L2" s="9">
        <v>7100.0</v>
      </c>
      <c r="M2" s="9">
        <v>7100.0</v>
      </c>
      <c r="N2" s="11"/>
      <c r="P2" s="12" t="s">
        <v>8</v>
      </c>
      <c r="Q2" s="12" t="s">
        <v>9</v>
      </c>
      <c r="R2" s="13">
        <v>2300.0</v>
      </c>
      <c r="S2" s="13">
        <v>2300.0</v>
      </c>
      <c r="T2" s="13">
        <v>2300.0</v>
      </c>
      <c r="U2" s="13">
        <v>2300.0</v>
      </c>
      <c r="V2" s="13">
        <v>2300.0</v>
      </c>
      <c r="W2" s="13">
        <v>2300.0</v>
      </c>
      <c r="X2" s="13">
        <v>2300.0</v>
      </c>
      <c r="Y2" s="13">
        <v>2300.0</v>
      </c>
      <c r="Z2" s="13">
        <v>2300.0</v>
      </c>
      <c r="AA2" s="13">
        <v>2300.0</v>
      </c>
      <c r="AB2" s="13">
        <v>2300.0</v>
      </c>
      <c r="AC2" s="13">
        <v>2300.0</v>
      </c>
    </row>
    <row r="3">
      <c r="A3" s="15" t="s">
        <v>11</v>
      </c>
      <c r="B3" s="16">
        <v>3900.0</v>
      </c>
      <c r="C3" s="16">
        <v>3900.0</v>
      </c>
      <c r="D3" s="16">
        <v>3900.0</v>
      </c>
      <c r="E3" s="16">
        <v>3900.0</v>
      </c>
      <c r="F3" s="16">
        <v>3900.0</v>
      </c>
      <c r="G3" s="16">
        <v>3900.0</v>
      </c>
      <c r="H3" s="16">
        <v>3900.0</v>
      </c>
      <c r="I3" s="16">
        <v>3900.0</v>
      </c>
      <c r="J3" s="16">
        <v>3900.0</v>
      </c>
      <c r="K3" s="16">
        <v>3900.0</v>
      </c>
      <c r="L3" s="16">
        <v>3900.0</v>
      </c>
      <c r="M3" s="16">
        <v>3900.0</v>
      </c>
      <c r="N3" s="11"/>
      <c r="P3" s="12" t="s">
        <v>8</v>
      </c>
      <c r="Q3" s="12" t="s">
        <v>15</v>
      </c>
      <c r="R3" s="16">
        <v>150.0</v>
      </c>
      <c r="S3" s="16">
        <v>150.0</v>
      </c>
      <c r="T3" s="16">
        <v>150.0</v>
      </c>
      <c r="U3" s="16">
        <v>150.0</v>
      </c>
      <c r="V3" s="16">
        <v>150.0</v>
      </c>
      <c r="W3" s="16">
        <v>150.0</v>
      </c>
      <c r="X3" s="16">
        <v>150.0</v>
      </c>
      <c r="Y3" s="16">
        <v>150.0</v>
      </c>
      <c r="Z3" s="16">
        <v>150.0</v>
      </c>
      <c r="AA3" s="16">
        <v>150.0</v>
      </c>
      <c r="AB3" s="16">
        <v>150.0</v>
      </c>
      <c r="AC3" s="16">
        <v>150.0</v>
      </c>
    </row>
    <row r="4">
      <c r="A4" s="15" t="s">
        <v>17</v>
      </c>
      <c r="B4" s="16">
        <v>1000.0</v>
      </c>
      <c r="C4" s="16">
        <v>1000.0</v>
      </c>
      <c r="D4" s="16">
        <v>1000.0</v>
      </c>
      <c r="E4" s="16">
        <v>1000.0</v>
      </c>
      <c r="F4" s="16">
        <v>1000.0</v>
      </c>
      <c r="G4" s="16">
        <v>1000.0</v>
      </c>
      <c r="H4" s="16">
        <v>1000.0</v>
      </c>
      <c r="I4" s="16">
        <v>1000.0</v>
      </c>
      <c r="J4" s="16">
        <v>1000.0</v>
      </c>
      <c r="K4" s="16">
        <v>1000.0</v>
      </c>
      <c r="L4" s="16">
        <v>1000.0</v>
      </c>
      <c r="M4" s="16">
        <v>1000.0</v>
      </c>
      <c r="N4" s="11"/>
      <c r="P4" s="12" t="s">
        <v>8</v>
      </c>
      <c r="Q4" s="12" t="s">
        <v>20</v>
      </c>
      <c r="R4" s="13">
        <v>100.0</v>
      </c>
      <c r="S4" s="13">
        <v>100.0</v>
      </c>
      <c r="T4" s="13">
        <v>100.0</v>
      </c>
      <c r="U4" s="13">
        <v>100.0</v>
      </c>
      <c r="V4" s="13">
        <v>100.0</v>
      </c>
      <c r="W4" s="13">
        <v>100.0</v>
      </c>
      <c r="X4" s="13">
        <v>100.0</v>
      </c>
      <c r="Y4" s="13">
        <v>100.0</v>
      </c>
      <c r="Z4" s="13">
        <v>100.0</v>
      </c>
      <c r="AA4" s="13">
        <v>100.0</v>
      </c>
      <c r="AB4" s="13">
        <v>100.0</v>
      </c>
      <c r="AC4" s="13">
        <v>100.0</v>
      </c>
    </row>
    <row r="5">
      <c r="A5" s="15" t="s">
        <v>22</v>
      </c>
      <c r="B5" s="16">
        <v>1000.0</v>
      </c>
      <c r="C5" s="16">
        <v>1000.0</v>
      </c>
      <c r="D5" s="16">
        <v>1000.0</v>
      </c>
      <c r="E5" s="16">
        <v>1000.0</v>
      </c>
      <c r="F5" s="16">
        <v>1000.0</v>
      </c>
      <c r="G5" s="16">
        <v>1000.0</v>
      </c>
      <c r="H5" s="16">
        <v>1000.0</v>
      </c>
      <c r="I5" s="16">
        <v>1000.0</v>
      </c>
      <c r="J5" s="16">
        <v>1000.0</v>
      </c>
      <c r="K5" s="16">
        <v>1000.0</v>
      </c>
      <c r="L5" s="16">
        <v>1000.0</v>
      </c>
      <c r="M5" s="16">
        <v>1000.0</v>
      </c>
      <c r="N5" s="11"/>
      <c r="P5" s="12" t="s">
        <v>8</v>
      </c>
      <c r="Q5" s="12" t="s">
        <v>24</v>
      </c>
      <c r="R5" s="16">
        <v>70.0</v>
      </c>
      <c r="S5" s="16">
        <v>70.0</v>
      </c>
      <c r="T5" s="16">
        <v>70.0</v>
      </c>
      <c r="U5" s="16">
        <v>70.0</v>
      </c>
      <c r="V5" s="16">
        <v>70.0</v>
      </c>
      <c r="W5" s="16">
        <v>70.0</v>
      </c>
      <c r="X5" s="16">
        <v>70.0</v>
      </c>
      <c r="Y5" s="16">
        <v>70.0</v>
      </c>
      <c r="Z5" s="16">
        <v>70.0</v>
      </c>
      <c r="AA5" s="16">
        <v>70.0</v>
      </c>
      <c r="AB5" s="16">
        <v>70.0</v>
      </c>
      <c r="AC5" s="16">
        <v>70.0</v>
      </c>
    </row>
    <row r="6">
      <c r="A6" s="15" t="s">
        <v>25</v>
      </c>
      <c r="B6" s="13">
        <f t="shared" ref="B6:M6" si="1">B2-SUM(B3:B5)</f>
        <v>1200</v>
      </c>
      <c r="C6" s="13">
        <f t="shared" si="1"/>
        <v>1200</v>
      </c>
      <c r="D6" s="13">
        <f t="shared" si="1"/>
        <v>1200</v>
      </c>
      <c r="E6" s="13">
        <f t="shared" si="1"/>
        <v>1200</v>
      </c>
      <c r="F6" s="13">
        <f t="shared" si="1"/>
        <v>1200</v>
      </c>
      <c r="G6" s="13">
        <f t="shared" si="1"/>
        <v>1200</v>
      </c>
      <c r="H6" s="13">
        <f t="shared" si="1"/>
        <v>1200</v>
      </c>
      <c r="I6" s="13">
        <f t="shared" si="1"/>
        <v>1200</v>
      </c>
      <c r="J6" s="13">
        <f t="shared" si="1"/>
        <v>1200</v>
      </c>
      <c r="K6" s="13">
        <f t="shared" si="1"/>
        <v>1200</v>
      </c>
      <c r="L6" s="13">
        <f t="shared" si="1"/>
        <v>1200</v>
      </c>
      <c r="M6" s="13">
        <f t="shared" si="1"/>
        <v>1200</v>
      </c>
      <c r="N6" s="11"/>
      <c r="P6" s="12" t="s">
        <v>8</v>
      </c>
      <c r="Q6" s="12" t="s">
        <v>33</v>
      </c>
      <c r="R6" s="16">
        <v>25.0</v>
      </c>
      <c r="S6" s="16">
        <v>25.0</v>
      </c>
      <c r="T6" s="16">
        <v>25.0</v>
      </c>
      <c r="U6" s="16">
        <v>25.0</v>
      </c>
      <c r="V6" s="16">
        <v>25.0</v>
      </c>
      <c r="W6" s="16">
        <v>25.0</v>
      </c>
      <c r="X6" s="16">
        <v>25.0</v>
      </c>
      <c r="Y6" s="16">
        <v>25.0</v>
      </c>
      <c r="Z6" s="16">
        <v>25.0</v>
      </c>
      <c r="AA6" s="16">
        <v>25.0</v>
      </c>
      <c r="AB6" s="16">
        <v>25.0</v>
      </c>
      <c r="AC6" s="16">
        <v>25.0</v>
      </c>
    </row>
    <row r="7">
      <c r="A7" s="29" t="s">
        <v>35</v>
      </c>
      <c r="B7" s="31">
        <f t="shared" ref="B7:M7" si="2">B$6*B16</f>
        <v>600</v>
      </c>
      <c r="C7" s="31">
        <f t="shared" si="2"/>
        <v>600</v>
      </c>
      <c r="D7" s="31">
        <f t="shared" si="2"/>
        <v>600</v>
      </c>
      <c r="E7" s="31">
        <f t="shared" si="2"/>
        <v>600</v>
      </c>
      <c r="F7" s="31">
        <f t="shared" si="2"/>
        <v>600</v>
      </c>
      <c r="G7" s="31">
        <f t="shared" si="2"/>
        <v>600</v>
      </c>
      <c r="H7" s="31">
        <f t="shared" si="2"/>
        <v>600</v>
      </c>
      <c r="I7" s="31">
        <f t="shared" si="2"/>
        <v>600</v>
      </c>
      <c r="J7" s="31">
        <f t="shared" si="2"/>
        <v>600</v>
      </c>
      <c r="K7" s="31">
        <f t="shared" si="2"/>
        <v>600</v>
      </c>
      <c r="L7" s="31">
        <f t="shared" si="2"/>
        <v>600</v>
      </c>
      <c r="M7" s="31">
        <f t="shared" si="2"/>
        <v>600</v>
      </c>
      <c r="N7" s="11"/>
      <c r="P7" s="33" t="s">
        <v>42</v>
      </c>
      <c r="Q7" s="12" t="s">
        <v>43</v>
      </c>
      <c r="R7" s="13">
        <v>450.0</v>
      </c>
      <c r="S7" s="13">
        <v>450.0</v>
      </c>
      <c r="T7" s="13">
        <v>450.0</v>
      </c>
      <c r="U7" s="13">
        <v>450.0</v>
      </c>
      <c r="V7" s="13">
        <v>450.0</v>
      </c>
      <c r="W7" s="13">
        <v>450.0</v>
      </c>
      <c r="X7" s="13">
        <v>450.0</v>
      </c>
      <c r="Y7" s="13">
        <v>450.0</v>
      </c>
      <c r="Z7" s="13">
        <v>450.0</v>
      </c>
      <c r="AA7" s="13">
        <v>450.0</v>
      </c>
      <c r="AB7" s="13">
        <v>450.0</v>
      </c>
      <c r="AC7" s="13">
        <v>450.0</v>
      </c>
    </row>
    <row r="8">
      <c r="A8" s="29" t="s">
        <v>44</v>
      </c>
      <c r="B8" s="31">
        <f t="shared" ref="B8:M8" si="3">B$6*B17</f>
        <v>240</v>
      </c>
      <c r="C8" s="31">
        <f t="shared" si="3"/>
        <v>240</v>
      </c>
      <c r="D8" s="31">
        <f t="shared" si="3"/>
        <v>240</v>
      </c>
      <c r="E8" s="31">
        <f t="shared" si="3"/>
        <v>240</v>
      </c>
      <c r="F8" s="31">
        <f t="shared" si="3"/>
        <v>240</v>
      </c>
      <c r="G8" s="31">
        <f t="shared" si="3"/>
        <v>240</v>
      </c>
      <c r="H8" s="31">
        <f t="shared" si="3"/>
        <v>240</v>
      </c>
      <c r="I8" s="31">
        <f t="shared" si="3"/>
        <v>240</v>
      </c>
      <c r="J8" s="31">
        <f t="shared" si="3"/>
        <v>240</v>
      </c>
      <c r="K8" s="31">
        <f t="shared" si="3"/>
        <v>240</v>
      </c>
      <c r="L8" s="31">
        <f t="shared" si="3"/>
        <v>240</v>
      </c>
      <c r="M8" s="31">
        <f t="shared" si="3"/>
        <v>240</v>
      </c>
      <c r="N8" s="11"/>
      <c r="P8" s="33" t="s">
        <v>48</v>
      </c>
      <c r="Q8" s="12" t="s">
        <v>50</v>
      </c>
      <c r="R8" s="13">
        <v>50.0</v>
      </c>
      <c r="S8" s="13">
        <v>50.0</v>
      </c>
      <c r="T8" s="13">
        <v>50.0</v>
      </c>
      <c r="U8" s="13">
        <v>50.0</v>
      </c>
      <c r="V8" s="13">
        <v>50.0</v>
      </c>
      <c r="W8" s="13">
        <v>50.0</v>
      </c>
      <c r="X8" s="13">
        <v>50.0</v>
      </c>
      <c r="Y8" s="13">
        <v>50.0</v>
      </c>
      <c r="Z8" s="13">
        <v>50.0</v>
      </c>
      <c r="AA8" s="13">
        <v>50.0</v>
      </c>
      <c r="AB8" s="13">
        <v>50.0</v>
      </c>
      <c r="AC8" s="13">
        <v>50.0</v>
      </c>
    </row>
    <row r="9">
      <c r="A9" s="29" t="s">
        <v>51</v>
      </c>
      <c r="B9" s="31">
        <f t="shared" ref="B9:M9" si="4">B$6*B18</f>
        <v>240</v>
      </c>
      <c r="C9" s="31">
        <f t="shared" si="4"/>
        <v>240</v>
      </c>
      <c r="D9" s="31">
        <f t="shared" si="4"/>
        <v>240</v>
      </c>
      <c r="E9" s="31">
        <f t="shared" si="4"/>
        <v>240</v>
      </c>
      <c r="F9" s="31">
        <f t="shared" si="4"/>
        <v>240</v>
      </c>
      <c r="G9" s="31">
        <f t="shared" si="4"/>
        <v>240</v>
      </c>
      <c r="H9" s="31">
        <f t="shared" si="4"/>
        <v>240</v>
      </c>
      <c r="I9" s="31">
        <f t="shared" si="4"/>
        <v>240</v>
      </c>
      <c r="J9" s="31">
        <f t="shared" si="4"/>
        <v>240</v>
      </c>
      <c r="K9" s="31">
        <f t="shared" si="4"/>
        <v>240</v>
      </c>
      <c r="L9" s="31">
        <f t="shared" si="4"/>
        <v>240</v>
      </c>
      <c r="M9" s="31">
        <f t="shared" si="4"/>
        <v>240</v>
      </c>
      <c r="N9" s="11"/>
      <c r="P9" s="33" t="s">
        <v>57</v>
      </c>
      <c r="Q9" s="12" t="s">
        <v>59</v>
      </c>
      <c r="R9" s="16">
        <v>200.0</v>
      </c>
      <c r="S9" s="16">
        <v>200.0</v>
      </c>
      <c r="T9" s="16">
        <v>200.0</v>
      </c>
      <c r="U9" s="16">
        <v>200.0</v>
      </c>
      <c r="V9" s="16">
        <v>200.0</v>
      </c>
      <c r="W9" s="16">
        <v>200.0</v>
      </c>
      <c r="X9" s="16">
        <v>200.0</v>
      </c>
      <c r="Y9" s="16">
        <v>200.0</v>
      </c>
      <c r="Z9" s="16">
        <v>200.0</v>
      </c>
      <c r="AA9" s="16">
        <v>200.0</v>
      </c>
      <c r="AB9" s="16">
        <v>200.0</v>
      </c>
      <c r="AC9" s="16">
        <v>200.0</v>
      </c>
    </row>
    <row r="10">
      <c r="A10" s="29" t="s">
        <v>61</v>
      </c>
      <c r="B10" s="31">
        <f t="shared" ref="B10:M10" si="5">B$6*B19</f>
        <v>120</v>
      </c>
      <c r="C10" s="31">
        <f t="shared" si="5"/>
        <v>120</v>
      </c>
      <c r="D10" s="31">
        <f t="shared" si="5"/>
        <v>120</v>
      </c>
      <c r="E10" s="31">
        <f t="shared" si="5"/>
        <v>120</v>
      </c>
      <c r="F10" s="31">
        <f t="shared" si="5"/>
        <v>120</v>
      </c>
      <c r="G10" s="31">
        <f t="shared" si="5"/>
        <v>120</v>
      </c>
      <c r="H10" s="31">
        <f t="shared" si="5"/>
        <v>120</v>
      </c>
      <c r="I10" s="31">
        <f t="shared" si="5"/>
        <v>120</v>
      </c>
      <c r="J10" s="31">
        <f t="shared" si="5"/>
        <v>120</v>
      </c>
      <c r="K10" s="31">
        <f t="shared" si="5"/>
        <v>120</v>
      </c>
      <c r="L10" s="31">
        <f t="shared" si="5"/>
        <v>120</v>
      </c>
      <c r="M10" s="31">
        <f t="shared" si="5"/>
        <v>120</v>
      </c>
      <c r="N10" s="11"/>
      <c r="P10" s="15" t="s">
        <v>62</v>
      </c>
      <c r="Q10" s="12" t="s">
        <v>63</v>
      </c>
      <c r="R10" s="13">
        <v>250.0</v>
      </c>
      <c r="S10" s="13">
        <v>250.0</v>
      </c>
      <c r="T10" s="13">
        <v>250.0</v>
      </c>
      <c r="U10" s="13">
        <v>250.0</v>
      </c>
      <c r="V10" s="13">
        <v>250.0</v>
      </c>
      <c r="W10" s="13">
        <v>250.0</v>
      </c>
      <c r="X10" s="13">
        <v>250.0</v>
      </c>
      <c r="Y10" s="13">
        <v>250.0</v>
      </c>
      <c r="Z10" s="13">
        <v>250.0</v>
      </c>
      <c r="AA10" s="13">
        <v>250.0</v>
      </c>
      <c r="AB10" s="13">
        <v>250.0</v>
      </c>
      <c r="AC10" s="13">
        <v>250.0</v>
      </c>
    </row>
    <row r="1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P11" s="15" t="s">
        <v>66</v>
      </c>
      <c r="Q11" s="12" t="s">
        <v>67</v>
      </c>
      <c r="R11" s="13">
        <v>50.0</v>
      </c>
      <c r="S11" s="13">
        <v>50.0</v>
      </c>
      <c r="T11" s="13">
        <v>50.0</v>
      </c>
      <c r="U11" s="13">
        <v>50.0</v>
      </c>
      <c r="V11" s="13">
        <v>50.0</v>
      </c>
      <c r="W11" s="13">
        <v>50.0</v>
      </c>
      <c r="X11" s="13">
        <v>50.0</v>
      </c>
      <c r="Y11" s="13">
        <v>50.0</v>
      </c>
      <c r="Z11" s="13">
        <v>50.0</v>
      </c>
      <c r="AA11" s="13">
        <v>50.0</v>
      </c>
      <c r="AB11" s="13">
        <v>50.0</v>
      </c>
      <c r="AC11" s="13">
        <v>50.0</v>
      </c>
    </row>
    <row r="12">
      <c r="A12" s="45" t="s">
        <v>68</v>
      </c>
      <c r="B12" s="47">
        <f t="shared" ref="B12:M12" si="6">B3/B$2</f>
        <v>0.5492957746</v>
      </c>
      <c r="C12" s="47">
        <f t="shared" si="6"/>
        <v>0.5492957746</v>
      </c>
      <c r="D12" s="47">
        <f t="shared" si="6"/>
        <v>0.5492957746</v>
      </c>
      <c r="E12" s="47">
        <f t="shared" si="6"/>
        <v>0.5492957746</v>
      </c>
      <c r="F12" s="47">
        <f t="shared" si="6"/>
        <v>0.5492957746</v>
      </c>
      <c r="G12" s="47">
        <f t="shared" si="6"/>
        <v>0.5492957746</v>
      </c>
      <c r="H12" s="47">
        <f t="shared" si="6"/>
        <v>0.5492957746</v>
      </c>
      <c r="I12" s="47">
        <f t="shared" si="6"/>
        <v>0.5492957746</v>
      </c>
      <c r="J12" s="47">
        <f t="shared" si="6"/>
        <v>0.5492957746</v>
      </c>
      <c r="K12" s="47">
        <f t="shared" si="6"/>
        <v>0.5492957746</v>
      </c>
      <c r="L12" s="47">
        <f t="shared" si="6"/>
        <v>0.5492957746</v>
      </c>
      <c r="M12" s="47">
        <f t="shared" si="6"/>
        <v>0.5492957746</v>
      </c>
      <c r="N12" s="11"/>
      <c r="P12" s="33" t="s">
        <v>73</v>
      </c>
      <c r="Q12" s="12" t="s">
        <v>74</v>
      </c>
      <c r="R12" s="13">
        <f t="shared" ref="R12:AC12" si="7">R14-sum(R2:R11)</f>
        <v>255</v>
      </c>
      <c r="S12" s="13">
        <f t="shared" si="7"/>
        <v>255</v>
      </c>
      <c r="T12" s="13">
        <f t="shared" si="7"/>
        <v>255</v>
      </c>
      <c r="U12" s="13">
        <f t="shared" si="7"/>
        <v>255</v>
      </c>
      <c r="V12" s="13">
        <f t="shared" si="7"/>
        <v>255</v>
      </c>
      <c r="W12" s="13">
        <f t="shared" si="7"/>
        <v>255</v>
      </c>
      <c r="X12" s="13">
        <f t="shared" si="7"/>
        <v>255</v>
      </c>
      <c r="Y12" s="13">
        <f t="shared" si="7"/>
        <v>255</v>
      </c>
      <c r="Z12" s="13">
        <f t="shared" si="7"/>
        <v>255</v>
      </c>
      <c r="AA12" s="13">
        <f t="shared" si="7"/>
        <v>255</v>
      </c>
      <c r="AB12" s="13">
        <f t="shared" si="7"/>
        <v>255</v>
      </c>
      <c r="AC12" s="13">
        <f t="shared" si="7"/>
        <v>255</v>
      </c>
    </row>
    <row r="13">
      <c r="A13" s="45" t="s">
        <v>84</v>
      </c>
      <c r="B13" s="47">
        <f t="shared" ref="B13:M13" si="8">B4/B$2</f>
        <v>0.1408450704</v>
      </c>
      <c r="C13" s="47">
        <f t="shared" si="8"/>
        <v>0.1408450704</v>
      </c>
      <c r="D13" s="47">
        <f t="shared" si="8"/>
        <v>0.1408450704</v>
      </c>
      <c r="E13" s="47">
        <f t="shared" si="8"/>
        <v>0.1408450704</v>
      </c>
      <c r="F13" s="47">
        <f t="shared" si="8"/>
        <v>0.1408450704</v>
      </c>
      <c r="G13" s="47">
        <f t="shared" si="8"/>
        <v>0.1408450704</v>
      </c>
      <c r="H13" s="47">
        <f t="shared" si="8"/>
        <v>0.1408450704</v>
      </c>
      <c r="I13" s="47">
        <f t="shared" si="8"/>
        <v>0.1408450704</v>
      </c>
      <c r="J13" s="47">
        <f t="shared" si="8"/>
        <v>0.1408450704</v>
      </c>
      <c r="K13" s="47">
        <f t="shared" si="8"/>
        <v>0.1408450704</v>
      </c>
      <c r="L13" s="47">
        <f t="shared" si="8"/>
        <v>0.1408450704</v>
      </c>
      <c r="M13" s="47">
        <f t="shared" si="8"/>
        <v>0.1408450704</v>
      </c>
      <c r="Q13" s="15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</row>
    <row r="14">
      <c r="A14" s="45" t="s">
        <v>89</v>
      </c>
      <c r="B14" s="47">
        <f t="shared" ref="B14:M14" si="9">B5/B$2</f>
        <v>0.1408450704</v>
      </c>
      <c r="C14" s="47">
        <f t="shared" si="9"/>
        <v>0.1408450704</v>
      </c>
      <c r="D14" s="47">
        <f t="shared" si="9"/>
        <v>0.1408450704</v>
      </c>
      <c r="E14" s="47">
        <f t="shared" si="9"/>
        <v>0.1408450704</v>
      </c>
      <c r="F14" s="47">
        <f t="shared" si="9"/>
        <v>0.1408450704</v>
      </c>
      <c r="G14" s="47">
        <f t="shared" si="9"/>
        <v>0.1408450704</v>
      </c>
      <c r="H14" s="47">
        <f t="shared" si="9"/>
        <v>0.1408450704</v>
      </c>
      <c r="I14" s="47">
        <f t="shared" si="9"/>
        <v>0.1408450704</v>
      </c>
      <c r="J14" s="47">
        <f t="shared" si="9"/>
        <v>0.1408450704</v>
      </c>
      <c r="K14" s="47">
        <f t="shared" si="9"/>
        <v>0.1408450704</v>
      </c>
      <c r="L14" s="47">
        <f t="shared" si="9"/>
        <v>0.1408450704</v>
      </c>
      <c r="M14" s="47">
        <f t="shared" si="9"/>
        <v>0.1408450704</v>
      </c>
      <c r="Q14" s="54" t="s">
        <v>11</v>
      </c>
      <c r="R14" s="56">
        <f t="shared" ref="R14:AC14" si="10">B3</f>
        <v>3900</v>
      </c>
      <c r="S14" s="56">
        <f t="shared" si="10"/>
        <v>3900</v>
      </c>
      <c r="T14" s="56">
        <f t="shared" si="10"/>
        <v>3900</v>
      </c>
      <c r="U14" s="56">
        <f t="shared" si="10"/>
        <v>3900</v>
      </c>
      <c r="V14" s="56">
        <f t="shared" si="10"/>
        <v>3900</v>
      </c>
      <c r="W14" s="56">
        <f t="shared" si="10"/>
        <v>3900</v>
      </c>
      <c r="X14" s="56">
        <f t="shared" si="10"/>
        <v>3900</v>
      </c>
      <c r="Y14" s="56">
        <f t="shared" si="10"/>
        <v>3900</v>
      </c>
      <c r="Z14" s="56">
        <f t="shared" si="10"/>
        <v>3900</v>
      </c>
      <c r="AA14" s="56">
        <f t="shared" si="10"/>
        <v>3900</v>
      </c>
      <c r="AB14" s="56">
        <f t="shared" si="10"/>
        <v>3900</v>
      </c>
      <c r="AC14" s="56">
        <f t="shared" si="10"/>
        <v>3900</v>
      </c>
    </row>
    <row r="15">
      <c r="A15" s="45" t="s">
        <v>99</v>
      </c>
      <c r="B15" s="47">
        <f t="shared" ref="B15:M15" si="11">B6/B$2</f>
        <v>0.1690140845</v>
      </c>
      <c r="C15" s="47">
        <f t="shared" si="11"/>
        <v>0.1690140845</v>
      </c>
      <c r="D15" s="47">
        <f t="shared" si="11"/>
        <v>0.1690140845</v>
      </c>
      <c r="E15" s="47">
        <f t="shared" si="11"/>
        <v>0.1690140845</v>
      </c>
      <c r="F15" s="47">
        <f t="shared" si="11"/>
        <v>0.1690140845</v>
      </c>
      <c r="G15" s="47">
        <f t="shared" si="11"/>
        <v>0.1690140845</v>
      </c>
      <c r="H15" s="47">
        <f t="shared" si="11"/>
        <v>0.1690140845</v>
      </c>
      <c r="I15" s="47">
        <f t="shared" si="11"/>
        <v>0.1690140845</v>
      </c>
      <c r="J15" s="47">
        <f t="shared" si="11"/>
        <v>0.1690140845</v>
      </c>
      <c r="K15" s="47">
        <f t="shared" si="11"/>
        <v>0.1690140845</v>
      </c>
      <c r="L15" s="47">
        <f t="shared" si="11"/>
        <v>0.1690140845</v>
      </c>
      <c r="M15" s="47">
        <f t="shared" si="11"/>
        <v>0.1690140845</v>
      </c>
      <c r="N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</row>
    <row r="16">
      <c r="A16" s="58" t="s">
        <v>107</v>
      </c>
      <c r="B16" s="59">
        <v>0.5</v>
      </c>
      <c r="C16" s="59">
        <v>0.5</v>
      </c>
      <c r="D16" s="59">
        <v>0.5</v>
      </c>
      <c r="E16" s="59">
        <v>0.5</v>
      </c>
      <c r="F16" s="59">
        <v>0.5</v>
      </c>
      <c r="G16" s="59">
        <v>0.5</v>
      </c>
      <c r="H16" s="59">
        <v>0.5</v>
      </c>
      <c r="I16" s="59">
        <v>0.5</v>
      </c>
      <c r="J16" s="59">
        <v>0.5</v>
      </c>
      <c r="K16" s="59">
        <v>0.5</v>
      </c>
      <c r="L16" s="59">
        <v>0.5</v>
      </c>
      <c r="M16" s="59">
        <v>0.5</v>
      </c>
      <c r="N16" s="11"/>
      <c r="P16" s="60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</row>
    <row r="17">
      <c r="A17" s="58" t="s">
        <v>111</v>
      </c>
      <c r="B17" s="59">
        <v>0.2</v>
      </c>
      <c r="C17" s="59">
        <v>0.2</v>
      </c>
      <c r="D17" s="59">
        <v>0.2</v>
      </c>
      <c r="E17" s="59">
        <v>0.2</v>
      </c>
      <c r="F17" s="59">
        <v>0.2</v>
      </c>
      <c r="G17" s="59">
        <v>0.2</v>
      </c>
      <c r="H17" s="59">
        <v>0.2</v>
      </c>
      <c r="I17" s="59">
        <v>0.2</v>
      </c>
      <c r="J17" s="59">
        <v>0.2</v>
      </c>
      <c r="K17" s="59">
        <v>0.2</v>
      </c>
      <c r="L17" s="59">
        <v>0.2</v>
      </c>
      <c r="M17" s="59">
        <v>0.2</v>
      </c>
      <c r="N17" s="11"/>
      <c r="P17" s="6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</row>
    <row r="18">
      <c r="A18" s="58" t="s">
        <v>115</v>
      </c>
      <c r="B18" s="59">
        <v>0.2</v>
      </c>
      <c r="C18" s="59">
        <v>0.2</v>
      </c>
      <c r="D18" s="59">
        <v>0.2</v>
      </c>
      <c r="E18" s="59">
        <v>0.2</v>
      </c>
      <c r="F18" s="59">
        <v>0.2</v>
      </c>
      <c r="G18" s="59">
        <v>0.2</v>
      </c>
      <c r="H18" s="59">
        <v>0.2</v>
      </c>
      <c r="I18" s="59">
        <v>0.2</v>
      </c>
      <c r="J18" s="59">
        <v>0.2</v>
      </c>
      <c r="K18" s="59">
        <v>0.2</v>
      </c>
      <c r="L18" s="59">
        <v>0.2</v>
      </c>
      <c r="M18" s="59">
        <v>0.2</v>
      </c>
      <c r="N18" s="11"/>
      <c r="P18" s="6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</row>
    <row r="19">
      <c r="A19" s="58" t="s">
        <v>117</v>
      </c>
      <c r="B19" s="59">
        <v>0.1</v>
      </c>
      <c r="C19" s="59">
        <v>0.1</v>
      </c>
      <c r="D19" s="59">
        <v>0.1</v>
      </c>
      <c r="E19" s="59">
        <v>0.1</v>
      </c>
      <c r="F19" s="59">
        <v>0.1</v>
      </c>
      <c r="G19" s="59">
        <v>0.1</v>
      </c>
      <c r="H19" s="59">
        <v>0.1</v>
      </c>
      <c r="I19" s="59">
        <v>0.1</v>
      </c>
      <c r="J19" s="59">
        <v>0.1</v>
      </c>
      <c r="K19" s="59">
        <v>0.1</v>
      </c>
      <c r="L19" s="59">
        <v>0.1</v>
      </c>
      <c r="M19" s="59">
        <v>0.1</v>
      </c>
      <c r="N19" s="11"/>
      <c r="P19" s="6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</row>
    <row r="20">
      <c r="N20" s="11"/>
      <c r="P20" s="6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</row>
    <row r="21">
      <c r="N21" s="11"/>
      <c r="P21" s="6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</row>
    <row r="22">
      <c r="A22" s="15"/>
      <c r="N22" s="11"/>
      <c r="P22" s="6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</row>
    <row r="23">
      <c r="N23" s="11"/>
      <c r="P23" s="6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</row>
    <row r="24">
      <c r="G24" s="62"/>
      <c r="H24" s="62"/>
      <c r="I24" s="62"/>
      <c r="J24" s="62"/>
      <c r="K24" s="62"/>
      <c r="P24" s="6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</row>
    <row r="25">
      <c r="A25" s="60"/>
      <c r="C25" s="11"/>
      <c r="D25" s="5"/>
      <c r="E25" s="5"/>
      <c r="G25" s="62"/>
      <c r="H25" s="62"/>
      <c r="I25" s="62"/>
      <c r="J25" s="62"/>
      <c r="K25" s="62"/>
      <c r="P25" s="6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</row>
    <row r="26">
      <c r="A26" s="61"/>
      <c r="C26" s="16"/>
      <c r="D26" s="16"/>
      <c r="E26" s="16"/>
      <c r="F26" s="15" t="s">
        <v>120</v>
      </c>
      <c r="G26" s="62"/>
      <c r="H26" s="62"/>
      <c r="I26" s="62"/>
      <c r="J26" s="62"/>
      <c r="K26" s="62"/>
      <c r="P26" s="6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</row>
    <row r="27">
      <c r="A27" s="61"/>
      <c r="C27" s="16"/>
      <c r="D27" s="16"/>
      <c r="E27" s="16"/>
      <c r="G27" s="62"/>
      <c r="H27" s="62"/>
      <c r="I27" s="62"/>
      <c r="J27" s="62"/>
      <c r="K27" s="62"/>
      <c r="P27" s="6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</row>
    <row r="28">
      <c r="A28" s="61"/>
      <c r="C28" s="16"/>
      <c r="D28" s="16"/>
      <c r="E28" s="16"/>
      <c r="G28" s="62"/>
      <c r="H28" s="62"/>
      <c r="I28" s="62"/>
      <c r="J28" s="62"/>
      <c r="K28" s="62"/>
      <c r="P28" s="6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</row>
    <row r="29">
      <c r="A29" s="61"/>
      <c r="C29" s="16"/>
      <c r="D29" s="16"/>
      <c r="E29" s="16"/>
      <c r="G29" s="62"/>
      <c r="H29" s="62"/>
      <c r="I29" s="62"/>
      <c r="J29" s="62"/>
      <c r="K29" s="62"/>
      <c r="P29" s="6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</row>
    <row r="30">
      <c r="A30" s="61"/>
      <c r="C30" s="16"/>
      <c r="D30" s="16"/>
      <c r="E30" s="16"/>
      <c r="G30" s="62"/>
      <c r="H30" s="62"/>
      <c r="I30" s="62"/>
      <c r="J30" s="62"/>
      <c r="K30" s="62"/>
      <c r="P30" s="6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</row>
    <row r="31">
      <c r="A31" s="61"/>
      <c r="C31" s="16"/>
      <c r="D31" s="16"/>
      <c r="E31" s="16"/>
      <c r="G31" s="62"/>
      <c r="H31" s="62"/>
      <c r="I31" s="62"/>
      <c r="J31" s="62"/>
      <c r="K31" s="62"/>
      <c r="P31" s="6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</row>
    <row r="32">
      <c r="A32" s="61"/>
      <c r="C32" s="16"/>
      <c r="D32" s="16"/>
      <c r="E32" s="16"/>
      <c r="G32" s="62"/>
      <c r="H32" s="62"/>
      <c r="I32" s="62"/>
      <c r="J32" s="62"/>
      <c r="K32" s="62"/>
      <c r="P32" s="6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</row>
    <row r="33">
      <c r="A33" s="61"/>
      <c r="C33" s="16"/>
      <c r="D33" s="16"/>
      <c r="E33" s="16"/>
      <c r="G33" s="62"/>
      <c r="H33" s="62"/>
      <c r="I33" s="62"/>
      <c r="J33" s="62"/>
      <c r="K33" s="62"/>
      <c r="P33" s="6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</row>
    <row r="34">
      <c r="A34" s="61"/>
      <c r="C34" s="16"/>
      <c r="D34" s="16"/>
      <c r="E34" s="16"/>
      <c r="G34" s="62"/>
      <c r="H34" s="62"/>
      <c r="I34" s="62"/>
      <c r="J34" s="62"/>
      <c r="K34" s="62"/>
      <c r="P34" s="6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</row>
    <row r="35">
      <c r="A35" s="61"/>
      <c r="C35" s="16"/>
      <c r="D35" s="16"/>
      <c r="E35" s="16"/>
      <c r="G35" s="62"/>
      <c r="H35" s="62"/>
      <c r="I35" s="62"/>
      <c r="J35" s="62"/>
      <c r="K35" s="62"/>
      <c r="P35" s="6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</row>
    <row r="36">
      <c r="A36" s="61"/>
      <c r="C36" s="16"/>
      <c r="D36" s="16"/>
      <c r="E36" s="16"/>
      <c r="G36" s="62"/>
      <c r="H36" s="62"/>
      <c r="I36" s="62"/>
      <c r="J36" s="62"/>
      <c r="K36" s="62"/>
      <c r="P36" s="6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</row>
    <row r="37">
      <c r="A37" s="61"/>
      <c r="C37" s="16"/>
      <c r="D37" s="16"/>
      <c r="E37" s="16"/>
      <c r="G37" s="62"/>
      <c r="H37" s="62"/>
      <c r="I37" s="62"/>
      <c r="J37" s="62"/>
      <c r="K37" s="62"/>
      <c r="P37" s="6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</row>
    <row r="38">
      <c r="A38" s="61"/>
      <c r="C38" s="16"/>
      <c r="D38" s="16"/>
      <c r="E38" s="16"/>
      <c r="G38" s="62"/>
      <c r="H38" s="62"/>
      <c r="I38" s="62"/>
      <c r="J38" s="62"/>
      <c r="K38" s="62"/>
      <c r="P38" s="6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</row>
    <row r="39">
      <c r="A39" s="61"/>
      <c r="C39" s="16"/>
      <c r="D39" s="16"/>
      <c r="E39" s="16"/>
      <c r="G39" s="62"/>
      <c r="H39" s="62"/>
      <c r="I39" s="62"/>
      <c r="J39" s="62"/>
      <c r="K39" s="62"/>
      <c r="P39" s="6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</row>
    <row r="40">
      <c r="A40" s="61"/>
      <c r="C40" s="16"/>
      <c r="D40" s="16"/>
      <c r="E40" s="16"/>
      <c r="P40" s="6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</row>
    <row r="41">
      <c r="A41" s="61"/>
      <c r="C41" s="16"/>
      <c r="D41" s="16"/>
      <c r="E41" s="16"/>
      <c r="P41" s="6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</row>
    <row r="42">
      <c r="A42" s="61"/>
      <c r="C42" s="16"/>
      <c r="D42" s="16"/>
      <c r="E42" s="16"/>
      <c r="P42" s="6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</row>
    <row r="43">
      <c r="A43" s="61"/>
      <c r="C43" s="16"/>
      <c r="D43" s="16"/>
      <c r="E43" s="16"/>
      <c r="P43" s="6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</row>
    <row r="44">
      <c r="A44" s="61"/>
      <c r="C44" s="16"/>
      <c r="D44" s="16"/>
      <c r="E44" s="16"/>
      <c r="P44" s="6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</row>
    <row r="45">
      <c r="A45" s="61"/>
      <c r="C45" s="16"/>
      <c r="D45" s="16"/>
      <c r="E45" s="16"/>
      <c r="P45" s="6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</row>
    <row r="46">
      <c r="A46" s="61"/>
      <c r="C46" s="16"/>
      <c r="D46" s="16"/>
      <c r="E46" s="16"/>
      <c r="P46" s="6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</row>
    <row r="47">
      <c r="A47" s="61"/>
      <c r="C47" s="16"/>
      <c r="D47" s="16"/>
      <c r="E47" s="16"/>
      <c r="P47" s="6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</row>
    <row r="48">
      <c r="A48" s="61"/>
      <c r="C48" s="16"/>
      <c r="D48" s="16"/>
      <c r="E48" s="16"/>
      <c r="P48" s="6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</row>
    <row r="49">
      <c r="A49" s="61"/>
      <c r="C49" s="16"/>
      <c r="D49" s="16"/>
      <c r="E49" s="16"/>
      <c r="P49" s="6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</row>
    <row r="50">
      <c r="A50" s="61"/>
      <c r="C50" s="16"/>
      <c r="D50" s="16"/>
      <c r="E50" s="16"/>
      <c r="P50" s="6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</row>
    <row r="51">
      <c r="A51" s="61"/>
      <c r="C51" s="16"/>
      <c r="D51" s="16"/>
      <c r="E51" s="16"/>
      <c r="P51" s="6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</row>
    <row r="52">
      <c r="A52" s="61"/>
      <c r="C52" s="16"/>
      <c r="D52" s="16"/>
      <c r="E52" s="16"/>
      <c r="P52" s="6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</row>
    <row r="53">
      <c r="A53" s="61"/>
      <c r="C53" s="16"/>
      <c r="D53" s="16"/>
      <c r="E53" s="16"/>
      <c r="P53" s="6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</row>
    <row r="54">
      <c r="A54" s="61"/>
      <c r="C54" s="16"/>
      <c r="D54" s="16"/>
      <c r="E54" s="16"/>
      <c r="P54" s="6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</row>
    <row r="55">
      <c r="A55" s="61"/>
      <c r="C55" s="16"/>
      <c r="D55" s="16"/>
      <c r="E55" s="16"/>
      <c r="P55" s="6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</row>
    <row r="56">
      <c r="A56" s="61"/>
      <c r="C56" s="16"/>
      <c r="D56" s="16"/>
      <c r="E56" s="16"/>
      <c r="P56" s="6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</row>
    <row r="57">
      <c r="A57" s="61"/>
      <c r="C57" s="16"/>
      <c r="D57" s="16"/>
      <c r="E57" s="16"/>
      <c r="P57" s="6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</row>
    <row r="58">
      <c r="A58" s="61"/>
      <c r="C58" s="16"/>
      <c r="D58" s="16"/>
      <c r="E58" s="16"/>
      <c r="P58" s="6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</row>
    <row r="59">
      <c r="A59" s="61"/>
      <c r="C59" s="16"/>
      <c r="D59" s="16"/>
      <c r="E59" s="16"/>
      <c r="P59" s="6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</row>
    <row r="60">
      <c r="A60" s="61"/>
      <c r="C60" s="16"/>
      <c r="D60" s="16"/>
      <c r="E60" s="16"/>
      <c r="P60" s="6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</row>
    <row r="61">
      <c r="A61" s="61"/>
      <c r="C61" s="16"/>
      <c r="D61" s="16"/>
      <c r="E61" s="16"/>
      <c r="P61" s="6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</row>
    <row r="62">
      <c r="A62" s="61"/>
      <c r="C62" s="16"/>
      <c r="D62" s="16"/>
      <c r="E62" s="16"/>
      <c r="P62" s="6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</row>
    <row r="63">
      <c r="A63" s="61"/>
      <c r="C63" s="16"/>
      <c r="D63" s="16"/>
      <c r="E63" s="16"/>
      <c r="P63" s="6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</row>
    <row r="64">
      <c r="A64" s="61"/>
      <c r="C64" s="16"/>
      <c r="D64" s="16"/>
      <c r="E64" s="16"/>
      <c r="P64" s="6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</row>
    <row r="65">
      <c r="A65" s="61"/>
      <c r="C65" s="16"/>
      <c r="D65" s="16"/>
      <c r="E65" s="16"/>
      <c r="P65" s="6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</row>
    <row r="66">
      <c r="A66" s="61"/>
      <c r="C66" s="16"/>
      <c r="D66" s="16"/>
      <c r="E66" s="16"/>
      <c r="P66" s="6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</row>
    <row r="67">
      <c r="A67" s="61"/>
      <c r="C67" s="16"/>
      <c r="D67" s="16"/>
      <c r="E67" s="16"/>
      <c r="P67" s="6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</row>
    <row r="68">
      <c r="A68" s="61"/>
      <c r="C68" s="16"/>
      <c r="D68" s="16"/>
      <c r="E68" s="16"/>
      <c r="P68" s="6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</row>
    <row r="69">
      <c r="A69" s="61"/>
      <c r="C69" s="16"/>
      <c r="D69" s="16"/>
      <c r="E69" s="16"/>
      <c r="P69" s="6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</row>
    <row r="70">
      <c r="A70" s="61"/>
      <c r="C70" s="16"/>
      <c r="D70" s="16"/>
      <c r="E70" s="16"/>
      <c r="P70" s="6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</row>
    <row r="71">
      <c r="A71" s="61"/>
      <c r="C71" s="16"/>
      <c r="D71" s="16"/>
      <c r="E71" s="16"/>
      <c r="P71" s="6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</row>
    <row r="72">
      <c r="A72" s="61"/>
      <c r="C72" s="16"/>
      <c r="D72" s="16"/>
      <c r="E72" s="16"/>
      <c r="P72" s="6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</row>
    <row r="73">
      <c r="A73" s="61"/>
      <c r="C73" s="16"/>
      <c r="D73" s="16"/>
      <c r="E73" s="16"/>
      <c r="P73" s="6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</row>
    <row r="74">
      <c r="A74" s="61"/>
      <c r="C74" s="16"/>
      <c r="D74" s="16"/>
      <c r="E74" s="16"/>
      <c r="P74" s="6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</row>
    <row r="75">
      <c r="A75" s="61"/>
      <c r="C75" s="16"/>
      <c r="D75" s="16"/>
      <c r="E75" s="16"/>
      <c r="P75" s="6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</row>
    <row r="76">
      <c r="A76" s="61"/>
      <c r="C76" s="16"/>
      <c r="D76" s="16"/>
      <c r="E76" s="16"/>
      <c r="P76" s="6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</row>
    <row r="77">
      <c r="A77" s="61"/>
      <c r="C77" s="16"/>
      <c r="D77" s="16"/>
      <c r="E77" s="16"/>
      <c r="P77" s="6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</row>
    <row r="78">
      <c r="A78" s="61"/>
      <c r="C78" s="16"/>
      <c r="D78" s="16"/>
      <c r="E78" s="16"/>
      <c r="P78" s="6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</row>
    <row r="79">
      <c r="A79" s="61"/>
      <c r="C79" s="16"/>
      <c r="D79" s="16"/>
      <c r="E79" s="16"/>
      <c r="P79" s="6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</row>
    <row r="80">
      <c r="A80" s="61"/>
      <c r="C80" s="16"/>
      <c r="D80" s="16"/>
      <c r="E80" s="16"/>
      <c r="P80" s="6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</row>
    <row r="81">
      <c r="A81" s="61"/>
      <c r="C81" s="16"/>
      <c r="D81" s="16"/>
      <c r="E81" s="16"/>
      <c r="P81" s="6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</row>
    <row r="82">
      <c r="A82" s="61"/>
      <c r="C82" s="16"/>
      <c r="D82" s="16"/>
      <c r="E82" s="16"/>
      <c r="P82" s="6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</row>
    <row r="83">
      <c r="A83" s="61"/>
      <c r="C83" s="16"/>
      <c r="D83" s="16"/>
      <c r="E83" s="16"/>
      <c r="P83" s="6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</row>
    <row r="84">
      <c r="A84" s="61"/>
      <c r="C84" s="16"/>
      <c r="D84" s="16"/>
      <c r="E84" s="16"/>
      <c r="P84" s="6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</row>
    <row r="85">
      <c r="A85" s="61"/>
      <c r="C85" s="16"/>
      <c r="D85" s="16"/>
      <c r="E85" s="16"/>
      <c r="P85" s="6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</row>
    <row r="86">
      <c r="A86" s="61"/>
      <c r="C86" s="16"/>
      <c r="D86" s="16"/>
      <c r="E86" s="16"/>
      <c r="P86" s="6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</row>
    <row r="87">
      <c r="A87" s="61"/>
      <c r="C87" s="16"/>
      <c r="D87" s="16"/>
      <c r="E87" s="16"/>
      <c r="P87" s="6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</row>
    <row r="88">
      <c r="A88" s="61"/>
      <c r="C88" s="16"/>
      <c r="D88" s="16"/>
      <c r="E88" s="16"/>
      <c r="P88" s="6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</row>
    <row r="89">
      <c r="A89" s="61"/>
      <c r="C89" s="16"/>
      <c r="D89" s="16"/>
      <c r="E89" s="16"/>
      <c r="P89" s="6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</row>
    <row r="90">
      <c r="A90" s="61"/>
      <c r="C90" s="16"/>
      <c r="D90" s="16"/>
      <c r="E90" s="16"/>
      <c r="P90" s="6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</row>
    <row r="91">
      <c r="A91" s="61"/>
      <c r="C91" s="16"/>
      <c r="D91" s="16"/>
      <c r="E91" s="16"/>
      <c r="P91" s="6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</row>
    <row r="92">
      <c r="A92" s="61"/>
      <c r="C92" s="16"/>
      <c r="D92" s="16"/>
      <c r="E92" s="16"/>
      <c r="P92" s="6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</row>
    <row r="93">
      <c r="A93" s="61"/>
      <c r="C93" s="16"/>
      <c r="D93" s="16"/>
      <c r="E93" s="16"/>
      <c r="P93" s="6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</row>
    <row r="94">
      <c r="A94" s="61"/>
      <c r="C94" s="16"/>
      <c r="D94" s="16"/>
      <c r="E94" s="16"/>
      <c r="P94" s="6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</row>
    <row r="95">
      <c r="A95" s="61"/>
      <c r="C95" s="16"/>
      <c r="D95" s="16"/>
      <c r="E95" s="16"/>
      <c r="P95" s="6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</row>
    <row r="96">
      <c r="A96" s="61"/>
      <c r="C96" s="16"/>
      <c r="D96" s="16"/>
      <c r="E96" s="16"/>
      <c r="P96" s="6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</row>
    <row r="97">
      <c r="A97" s="61"/>
      <c r="C97" s="16"/>
      <c r="D97" s="16"/>
      <c r="E97" s="16"/>
      <c r="P97" s="6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</row>
    <row r="98">
      <c r="A98" s="61"/>
      <c r="C98" s="16"/>
      <c r="D98" s="16"/>
      <c r="E98" s="16"/>
      <c r="P98" s="6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</row>
    <row r="99">
      <c r="A99" s="61"/>
      <c r="C99" s="16"/>
      <c r="D99" s="16"/>
      <c r="E99" s="16"/>
      <c r="P99" s="6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</row>
    <row r="100">
      <c r="A100" s="61"/>
      <c r="C100" s="16"/>
      <c r="D100" s="16"/>
      <c r="E100" s="16"/>
      <c r="P100" s="6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</row>
    <row r="101">
      <c r="A101" s="61"/>
      <c r="C101" s="16"/>
      <c r="D101" s="16"/>
      <c r="E101" s="16"/>
      <c r="P101" s="6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</row>
    <row r="102">
      <c r="A102" s="61"/>
      <c r="C102" s="16"/>
      <c r="D102" s="16"/>
      <c r="E102" s="16"/>
      <c r="P102" s="6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</row>
    <row r="103">
      <c r="A103" s="61"/>
      <c r="C103" s="16"/>
      <c r="D103" s="16"/>
      <c r="E103" s="16"/>
      <c r="P103" s="6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</row>
    <row r="104">
      <c r="A104" s="61"/>
      <c r="C104" s="16"/>
      <c r="D104" s="16"/>
      <c r="E104" s="16"/>
      <c r="P104" s="6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</row>
    <row r="105">
      <c r="A105" s="61"/>
      <c r="C105" s="16"/>
      <c r="D105" s="16"/>
      <c r="E105" s="16"/>
      <c r="P105" s="6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</row>
    <row r="106">
      <c r="A106" s="61"/>
      <c r="C106" s="16"/>
      <c r="D106" s="16"/>
      <c r="E106" s="16"/>
      <c r="P106" s="6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</row>
    <row r="107">
      <c r="A107" s="61"/>
      <c r="C107" s="16"/>
      <c r="D107" s="16"/>
      <c r="E107" s="16"/>
      <c r="P107" s="6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</row>
    <row r="108">
      <c r="A108" s="61"/>
      <c r="C108" s="16"/>
      <c r="D108" s="16"/>
      <c r="E108" s="16"/>
      <c r="P108" s="6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</row>
    <row r="109">
      <c r="A109" s="61"/>
      <c r="C109" s="16"/>
      <c r="D109" s="16"/>
      <c r="E109" s="16"/>
      <c r="P109" s="6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</row>
    <row r="110">
      <c r="A110" s="73"/>
      <c r="C110" s="16"/>
      <c r="P110" s="6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</row>
    <row r="111">
      <c r="A111" s="73"/>
      <c r="C111" s="16"/>
      <c r="P111" s="6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</row>
    <row r="112">
      <c r="A112" s="73"/>
      <c r="C112" s="16"/>
      <c r="P112" s="6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</row>
    <row r="113">
      <c r="A113" s="73"/>
      <c r="C113" s="16"/>
      <c r="P113" s="6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</row>
    <row r="114">
      <c r="A114" s="73"/>
      <c r="C114" s="16"/>
      <c r="P114" s="6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</row>
    <row r="115">
      <c r="A115" s="73"/>
      <c r="C115" s="16"/>
      <c r="P115" s="6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</row>
    <row r="116">
      <c r="A116" s="73"/>
      <c r="C116" s="16"/>
      <c r="P116" s="6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</row>
    <row r="117">
      <c r="A117" s="73"/>
      <c r="C117" s="16"/>
      <c r="P117" s="6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</row>
    <row r="118">
      <c r="A118" s="73"/>
      <c r="C118" s="16"/>
      <c r="P118" s="6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</row>
    <row r="119">
      <c r="A119" s="73"/>
      <c r="C119" s="16"/>
      <c r="P119" s="6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</row>
    <row r="120">
      <c r="A120" s="73"/>
      <c r="C120" s="16"/>
      <c r="P120" s="6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</row>
    <row r="121">
      <c r="A121" s="73"/>
      <c r="C121" s="16"/>
      <c r="P121" s="6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</row>
    <row r="122">
      <c r="A122" s="73"/>
      <c r="C122" s="16"/>
      <c r="P122" s="6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</row>
    <row r="123">
      <c r="A123" s="73"/>
      <c r="P123" s="6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</row>
    <row r="124">
      <c r="A124" s="73"/>
      <c r="P124" s="6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</row>
    <row r="125">
      <c r="A125" s="73"/>
      <c r="P125" s="6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</row>
    <row r="126">
      <c r="A126" s="73"/>
      <c r="P126" s="6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</row>
    <row r="127">
      <c r="A127" s="73"/>
      <c r="P127" s="6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</row>
    <row r="128">
      <c r="A128" s="73"/>
      <c r="P128" s="6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</row>
    <row r="129">
      <c r="A129" s="73"/>
      <c r="P129" s="6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</row>
    <row r="130">
      <c r="A130" s="73"/>
      <c r="P130" s="6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</row>
    <row r="131">
      <c r="A131" s="73"/>
      <c r="P131" s="6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</row>
    <row r="132">
      <c r="A132" s="73"/>
      <c r="P132" s="6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</row>
    <row r="133">
      <c r="A133" s="73"/>
      <c r="P133" s="6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</row>
    <row r="134">
      <c r="A134" s="73"/>
      <c r="P134" s="6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</row>
    <row r="135">
      <c r="A135" s="73"/>
      <c r="P135" s="6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</row>
    <row r="136">
      <c r="A136" s="73"/>
      <c r="P136" s="6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</row>
    <row r="137">
      <c r="A137" s="73"/>
      <c r="P137" s="6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</row>
    <row r="138">
      <c r="A138" s="73"/>
      <c r="P138" s="6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</row>
    <row r="139">
      <c r="A139" s="73"/>
      <c r="P139" s="6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</row>
    <row r="140">
      <c r="A140" s="73"/>
      <c r="P140" s="6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</row>
    <row r="141">
      <c r="A141" s="73"/>
      <c r="P141" s="6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</row>
    <row r="142">
      <c r="A142" s="73"/>
      <c r="P142" s="6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</row>
    <row r="143">
      <c r="A143" s="73"/>
      <c r="P143" s="6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</row>
    <row r="144">
      <c r="A144" s="73"/>
      <c r="P144" s="6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</row>
    <row r="145">
      <c r="A145" s="73"/>
      <c r="P145" s="6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</row>
    <row r="146">
      <c r="A146" s="73"/>
      <c r="P146" s="6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</row>
    <row r="147">
      <c r="A147" s="73"/>
      <c r="P147" s="6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</row>
    <row r="148">
      <c r="A148" s="73"/>
      <c r="P148" s="6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</row>
    <row r="149">
      <c r="A149" s="73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</row>
    <row r="150">
      <c r="A150" s="73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</row>
    <row r="151">
      <c r="A151" s="73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</row>
    <row r="152">
      <c r="A152" s="73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</row>
    <row r="153">
      <c r="A153" s="73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</row>
    <row r="154">
      <c r="A154" s="73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</row>
    <row r="155">
      <c r="A155" s="73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</row>
    <row r="156">
      <c r="A156" s="73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</row>
    <row r="157">
      <c r="A157" s="73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</row>
    <row r="158">
      <c r="A158" s="73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</row>
    <row r="159">
      <c r="A159" s="73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</row>
    <row r="160">
      <c r="A160" s="73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</row>
    <row r="161">
      <c r="A161" s="73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</row>
    <row r="162">
      <c r="A162" s="73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</row>
    <row r="163">
      <c r="A163" s="73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</row>
    <row r="164">
      <c r="A164" s="73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</row>
    <row r="165">
      <c r="A165" s="73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</row>
    <row r="166">
      <c r="A166" s="73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</row>
    <row r="167">
      <c r="A167" s="73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</row>
    <row r="168">
      <c r="A168" s="73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</row>
    <row r="169">
      <c r="A169" s="73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</row>
    <row r="170">
      <c r="A170" s="73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</row>
    <row r="171">
      <c r="A171" s="73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</row>
    <row r="172">
      <c r="A172" s="73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</row>
    <row r="173">
      <c r="A173" s="73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</row>
    <row r="174">
      <c r="A174" s="73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</row>
    <row r="175">
      <c r="A175" s="73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</row>
    <row r="176">
      <c r="A176" s="73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</row>
    <row r="177">
      <c r="A177" s="73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</row>
    <row r="178">
      <c r="A178" s="73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</row>
    <row r="179">
      <c r="A179" s="73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</row>
    <row r="180">
      <c r="A180" s="73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</row>
    <row r="181">
      <c r="A181" s="73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</row>
    <row r="182">
      <c r="A182" s="73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</row>
    <row r="183">
      <c r="A183" s="73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</row>
    <row r="184">
      <c r="A184" s="73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</row>
    <row r="185">
      <c r="A185" s="73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</row>
    <row r="186">
      <c r="A186" s="73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</row>
    <row r="187">
      <c r="A187" s="73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</row>
    <row r="188">
      <c r="A188" s="73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</row>
    <row r="189">
      <c r="A189" s="73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</row>
    <row r="190">
      <c r="A190" s="73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</row>
    <row r="191">
      <c r="A191" s="73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</row>
    <row r="192">
      <c r="A192" s="73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</row>
    <row r="193">
      <c r="A193" s="73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</row>
    <row r="194">
      <c r="A194" s="73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</row>
    <row r="195"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</row>
    <row r="196"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</row>
    <row r="197"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</row>
    <row r="198"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</row>
    <row r="199"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</row>
    <row r="200"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</row>
    <row r="201"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</row>
    <row r="202"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</row>
    <row r="203"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</row>
    <row r="204"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</row>
    <row r="205"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</row>
    <row r="206"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</row>
    <row r="207"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</row>
    <row r="208"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</row>
    <row r="209"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</row>
    <row r="210"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</row>
    <row r="211"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</row>
    <row r="212"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</row>
    <row r="213"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</row>
    <row r="214"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</row>
    <row r="215"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</row>
    <row r="216"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</row>
    <row r="217"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</row>
    <row r="218"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</row>
    <row r="219"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</row>
    <row r="220"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</row>
    <row r="221"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</row>
    <row r="222"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</row>
    <row r="223"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</row>
    <row r="224"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</row>
    <row r="225"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</row>
    <row r="226"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</row>
    <row r="227"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</row>
    <row r="228"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</row>
    <row r="229"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</row>
    <row r="230"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</row>
    <row r="231"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</row>
    <row r="232"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</row>
    <row r="233"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</row>
    <row r="234"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</row>
    <row r="235"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</row>
    <row r="236"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</row>
    <row r="237"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</row>
    <row r="238"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</row>
    <row r="239"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</row>
    <row r="240"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</row>
    <row r="241"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</row>
    <row r="242"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</row>
    <row r="243"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</row>
    <row r="244"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</row>
    <row r="245"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</row>
    <row r="246"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</row>
    <row r="247"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</row>
    <row r="248"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</row>
    <row r="249"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</row>
    <row r="250"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</row>
    <row r="251"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</row>
    <row r="252"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</row>
    <row r="253"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</row>
    <row r="254"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</row>
    <row r="255"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</row>
    <row r="256"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</row>
    <row r="257"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</row>
    <row r="258"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</row>
    <row r="259"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</row>
    <row r="260"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</row>
    <row r="261"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</row>
    <row r="262"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</row>
    <row r="263"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</row>
    <row r="264"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</row>
    <row r="265"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</row>
    <row r="266"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</row>
    <row r="267"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</row>
    <row r="268"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</row>
    <row r="269"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</row>
    <row r="270"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</row>
    <row r="271"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</row>
    <row r="272"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</row>
    <row r="273"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</row>
    <row r="274"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</row>
    <row r="275"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</row>
    <row r="276"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</row>
    <row r="277"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</row>
    <row r="278"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</row>
    <row r="279"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</row>
    <row r="280"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</row>
    <row r="281"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</row>
    <row r="282"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</row>
    <row r="283"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</row>
    <row r="284"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</row>
    <row r="285"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</row>
    <row r="286"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</row>
    <row r="287"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</row>
    <row r="288"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</row>
    <row r="289"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</row>
    <row r="290"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</row>
    <row r="291"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</row>
    <row r="292"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</row>
    <row r="293"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</row>
    <row r="294"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</row>
    <row r="295"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</row>
    <row r="296"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</row>
    <row r="297"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</row>
    <row r="298"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</row>
    <row r="299"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</row>
    <row r="300"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</row>
    <row r="301"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</row>
    <row r="302"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</row>
    <row r="303"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</row>
    <row r="304"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</row>
    <row r="305"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</row>
    <row r="306"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</row>
    <row r="307"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</row>
    <row r="308"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</row>
    <row r="309"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</row>
    <row r="310"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</row>
    <row r="311"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</row>
    <row r="312"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</row>
    <row r="313"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</row>
    <row r="314"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</row>
    <row r="315"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</row>
    <row r="316"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</row>
    <row r="317"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</row>
    <row r="318"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</row>
    <row r="319"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</row>
    <row r="320"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</row>
    <row r="321"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</row>
    <row r="322"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</row>
    <row r="323"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</row>
    <row r="324"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</row>
    <row r="325"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</row>
    <row r="326"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</row>
    <row r="327"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</row>
    <row r="328"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</row>
    <row r="329"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</row>
    <row r="330"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</row>
    <row r="331"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</row>
    <row r="332"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</row>
    <row r="333"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</row>
    <row r="334"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</row>
    <row r="335"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</row>
    <row r="336"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</row>
    <row r="337"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</row>
    <row r="338"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</row>
    <row r="339"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</row>
    <row r="340"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</row>
    <row r="341"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</row>
    <row r="342"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</row>
    <row r="343"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</row>
    <row r="344"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</row>
    <row r="345"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</row>
    <row r="346"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</row>
    <row r="347"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</row>
    <row r="348"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</row>
    <row r="349"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</row>
    <row r="350"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</row>
    <row r="351"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</row>
    <row r="352"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</row>
    <row r="353"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</row>
    <row r="354"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</row>
    <row r="355"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</row>
    <row r="356"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</row>
    <row r="357"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</row>
    <row r="358"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</row>
    <row r="359"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</row>
    <row r="360"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</row>
    <row r="361"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</row>
    <row r="362"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</row>
    <row r="363"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</row>
    <row r="364"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</row>
    <row r="365"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</row>
    <row r="366"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</row>
    <row r="367"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</row>
    <row r="368"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</row>
    <row r="369"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</row>
    <row r="370"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</row>
    <row r="371"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</row>
    <row r="372"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</row>
    <row r="373"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</row>
    <row r="374"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</row>
    <row r="375"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</row>
    <row r="376"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</row>
    <row r="377"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</row>
    <row r="378"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</row>
    <row r="379"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</row>
    <row r="380"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</row>
    <row r="381"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</row>
    <row r="382"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</row>
    <row r="383"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</row>
    <row r="384"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</row>
    <row r="385"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</row>
    <row r="386"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</row>
    <row r="387"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</row>
    <row r="388"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</row>
    <row r="389"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</row>
    <row r="390"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</row>
    <row r="391"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</row>
    <row r="392"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</row>
    <row r="393"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</row>
    <row r="394"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</row>
    <row r="395"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</row>
    <row r="396"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</row>
    <row r="397"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</row>
    <row r="398"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</row>
    <row r="399"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</row>
    <row r="400"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</row>
    <row r="401"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</row>
    <row r="402"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</row>
    <row r="403"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</row>
    <row r="404"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</row>
    <row r="405"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</row>
    <row r="406"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</row>
    <row r="407"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</row>
    <row r="408"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</row>
    <row r="409"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</row>
    <row r="410"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</row>
    <row r="411"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</row>
    <row r="412"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</row>
    <row r="413"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</row>
    <row r="414"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</row>
    <row r="415"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</row>
    <row r="416"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</row>
    <row r="417"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</row>
    <row r="418"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</row>
    <row r="419"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</row>
    <row r="420"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</row>
    <row r="421"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</row>
    <row r="422"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</row>
    <row r="423"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</row>
    <row r="424"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</row>
    <row r="425"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</row>
    <row r="426"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</row>
    <row r="427"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</row>
    <row r="428"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</row>
    <row r="429"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</row>
    <row r="430"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</row>
    <row r="431"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</row>
    <row r="432"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</row>
    <row r="433"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</row>
    <row r="434"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</row>
    <row r="435"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</row>
    <row r="436"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</row>
    <row r="437"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</row>
    <row r="438"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</row>
    <row r="439"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</row>
    <row r="440"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</row>
    <row r="441"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</row>
    <row r="442"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</row>
    <row r="443"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</row>
    <row r="444"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</row>
    <row r="445"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</row>
    <row r="446"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</row>
    <row r="447"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</row>
    <row r="448"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</row>
    <row r="449"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</row>
    <row r="450"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</row>
    <row r="451"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</row>
    <row r="452"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</row>
    <row r="453"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</row>
    <row r="454"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</row>
    <row r="455"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</row>
    <row r="456"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</row>
    <row r="457"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</row>
    <row r="458"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</row>
    <row r="459"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</row>
    <row r="460"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</row>
    <row r="461"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</row>
    <row r="462"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</row>
    <row r="463"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</row>
    <row r="464"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</row>
    <row r="465"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</row>
    <row r="466"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</row>
    <row r="467"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</row>
    <row r="468"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</row>
    <row r="469"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</row>
    <row r="470"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</row>
    <row r="471"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</row>
    <row r="472"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</row>
    <row r="473"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</row>
    <row r="474"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</row>
    <row r="475"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</row>
    <row r="476"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</row>
    <row r="477"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</row>
    <row r="478"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</row>
    <row r="479"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</row>
    <row r="480"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</row>
    <row r="481"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</row>
    <row r="482"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</row>
    <row r="483"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</row>
    <row r="484"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</row>
    <row r="485"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</row>
    <row r="486"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</row>
    <row r="487"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</row>
    <row r="488"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</row>
    <row r="489"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</row>
    <row r="490"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</row>
    <row r="491"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</row>
    <row r="492"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</row>
    <row r="493"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</row>
    <row r="494"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</row>
    <row r="495"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</row>
    <row r="496"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</row>
    <row r="497"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</row>
    <row r="498"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</row>
    <row r="499"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</row>
    <row r="500"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</row>
    <row r="501"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</row>
    <row r="502"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</row>
    <row r="503"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</row>
    <row r="504"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</row>
    <row r="505"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</row>
    <row r="506"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</row>
    <row r="507"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</row>
    <row r="508"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</row>
    <row r="509"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</row>
    <row r="510"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</row>
    <row r="511"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</row>
    <row r="512"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</row>
    <row r="513"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</row>
    <row r="514"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</row>
    <row r="515"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</row>
    <row r="516"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</row>
    <row r="517"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</row>
    <row r="518"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</row>
    <row r="519"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</row>
    <row r="520"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</row>
    <row r="521"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</row>
    <row r="522"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</row>
    <row r="523"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</row>
    <row r="524"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</row>
    <row r="525"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</row>
    <row r="526"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</row>
    <row r="527"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</row>
    <row r="528"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</row>
    <row r="529"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</row>
    <row r="530"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</row>
    <row r="531"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</row>
    <row r="532"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</row>
    <row r="533"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</row>
    <row r="534"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</row>
    <row r="535"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</row>
    <row r="536"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</row>
    <row r="537"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</row>
    <row r="538"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</row>
    <row r="539"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</row>
    <row r="540"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</row>
    <row r="541"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</row>
    <row r="542"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</row>
    <row r="543"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</row>
    <row r="544"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</row>
    <row r="545"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</row>
    <row r="546"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</row>
    <row r="547"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</row>
    <row r="548"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</row>
    <row r="549"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</row>
    <row r="550"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</row>
    <row r="551"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</row>
    <row r="552"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</row>
    <row r="553"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</row>
    <row r="554"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</row>
    <row r="555"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</row>
    <row r="556"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</row>
    <row r="557"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</row>
    <row r="558"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</row>
    <row r="559"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</row>
    <row r="560"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</row>
    <row r="561"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</row>
    <row r="562"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</row>
    <row r="563"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</row>
    <row r="564"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</row>
    <row r="565"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</row>
    <row r="566"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</row>
    <row r="567"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</row>
    <row r="568"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</row>
    <row r="569"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</row>
    <row r="570"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</row>
    <row r="571"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</row>
    <row r="572"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</row>
    <row r="573"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</row>
    <row r="574"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</row>
    <row r="575"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</row>
    <row r="576"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</row>
    <row r="577"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</row>
    <row r="578"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</row>
    <row r="579"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</row>
    <row r="580"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</row>
    <row r="581"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</row>
    <row r="582"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</row>
    <row r="583"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</row>
    <row r="584"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</row>
    <row r="585"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</row>
    <row r="586"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</row>
    <row r="587"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</row>
    <row r="588"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</row>
    <row r="589"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</row>
    <row r="590"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</row>
    <row r="591"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</row>
    <row r="592"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</row>
    <row r="593"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</row>
    <row r="594"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</row>
    <row r="595"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</row>
    <row r="596"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</row>
    <row r="597"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</row>
    <row r="598"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</row>
    <row r="599"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</row>
    <row r="600"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</row>
    <row r="601"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</row>
    <row r="602"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</row>
    <row r="603"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</row>
    <row r="604"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</row>
    <row r="605"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</row>
    <row r="606"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</row>
    <row r="607"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</row>
    <row r="608"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</row>
    <row r="609"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</row>
    <row r="610"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</row>
    <row r="611"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</row>
    <row r="612"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</row>
    <row r="613"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</row>
    <row r="614"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</row>
    <row r="615"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</row>
    <row r="616"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</row>
    <row r="617"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</row>
    <row r="618"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</row>
    <row r="619"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</row>
    <row r="620"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</row>
    <row r="621"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</row>
    <row r="622"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</row>
    <row r="623"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</row>
    <row r="624"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</row>
    <row r="625"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</row>
    <row r="626"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</row>
    <row r="627"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</row>
    <row r="628"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</row>
    <row r="629"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</row>
    <row r="630"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</row>
    <row r="631"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</row>
    <row r="632"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</row>
    <row r="633"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</row>
    <row r="634"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</row>
    <row r="635"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</row>
    <row r="636"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</row>
    <row r="637"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</row>
    <row r="638"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</row>
    <row r="639"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</row>
    <row r="640"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</row>
    <row r="641"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</row>
    <row r="642"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</row>
    <row r="643"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</row>
    <row r="644"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</row>
    <row r="645"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</row>
    <row r="646"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</row>
    <row r="647"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</row>
    <row r="648"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</row>
    <row r="649"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</row>
    <row r="650"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</row>
    <row r="651"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</row>
    <row r="652"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</row>
    <row r="653"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</row>
    <row r="654"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</row>
    <row r="655"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</row>
    <row r="656"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</row>
    <row r="657"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</row>
    <row r="658"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</row>
    <row r="659"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</row>
    <row r="660"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</row>
    <row r="661"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</row>
    <row r="662"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</row>
    <row r="663"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</row>
    <row r="664"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</row>
    <row r="665"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</row>
    <row r="666"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</row>
    <row r="667"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</row>
    <row r="668"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</row>
    <row r="669"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</row>
    <row r="670"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</row>
    <row r="671"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</row>
    <row r="672"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</row>
    <row r="673"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</row>
    <row r="674"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</row>
    <row r="675"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</row>
    <row r="676"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</row>
    <row r="677"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</row>
    <row r="678"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</row>
    <row r="679"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</row>
    <row r="680"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</row>
    <row r="681"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</row>
    <row r="682"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</row>
    <row r="683"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</row>
    <row r="684"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</row>
    <row r="685"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</row>
    <row r="686"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</row>
    <row r="687"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</row>
    <row r="688"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</row>
    <row r="689"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</row>
    <row r="690"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</row>
    <row r="691"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</row>
    <row r="692"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</row>
    <row r="693"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</row>
    <row r="694"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</row>
    <row r="695"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</row>
    <row r="696"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</row>
    <row r="697"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</row>
    <row r="698"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</row>
    <row r="699"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</row>
    <row r="700"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</row>
    <row r="701"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</row>
    <row r="702"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</row>
    <row r="703"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</row>
    <row r="704"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</row>
    <row r="705"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</row>
    <row r="706"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</row>
    <row r="707"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</row>
    <row r="708"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</row>
    <row r="709"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</row>
    <row r="710"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</row>
    <row r="711"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</row>
    <row r="712"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</row>
    <row r="713"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</row>
    <row r="714"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</row>
    <row r="715"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</row>
    <row r="716"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</row>
    <row r="717"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</row>
    <row r="718"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</row>
    <row r="719"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</row>
    <row r="720"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</row>
    <row r="721"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</row>
    <row r="722"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</row>
    <row r="723"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</row>
    <row r="724"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</row>
    <row r="725"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</row>
    <row r="726"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</row>
    <row r="727"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</row>
    <row r="728"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</row>
    <row r="729"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</row>
    <row r="730"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</row>
    <row r="731"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</row>
    <row r="732"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</row>
    <row r="733"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</row>
    <row r="734"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</row>
    <row r="735"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</row>
    <row r="736"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</row>
    <row r="737"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</row>
    <row r="738"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</row>
    <row r="739"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</row>
    <row r="740"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</row>
    <row r="741"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</row>
    <row r="742"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</row>
    <row r="743"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</row>
    <row r="744"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</row>
    <row r="745"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</row>
    <row r="746"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</row>
    <row r="747"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</row>
    <row r="748"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</row>
    <row r="749"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</row>
    <row r="750"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</row>
    <row r="751"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</row>
    <row r="752"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</row>
    <row r="753"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</row>
    <row r="754"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</row>
    <row r="755"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</row>
    <row r="756"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</row>
    <row r="757"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</row>
    <row r="758"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</row>
    <row r="759"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</row>
    <row r="760"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</row>
    <row r="761"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</row>
    <row r="762"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</row>
    <row r="763"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</row>
    <row r="764"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</row>
    <row r="765"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</row>
    <row r="766"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</row>
    <row r="767"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</row>
    <row r="768"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</row>
    <row r="769"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</row>
    <row r="770"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</row>
    <row r="771"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</row>
    <row r="772"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</row>
    <row r="773"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</row>
    <row r="774"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</row>
    <row r="775"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</row>
    <row r="776"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</row>
    <row r="777"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</row>
    <row r="778"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</row>
    <row r="779"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</row>
    <row r="780"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</row>
    <row r="781"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</row>
    <row r="782"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</row>
    <row r="783"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</row>
    <row r="784"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</row>
    <row r="785"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</row>
    <row r="786"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</row>
    <row r="787"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</row>
    <row r="788"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</row>
    <row r="789"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</row>
    <row r="790"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</row>
    <row r="791"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</row>
    <row r="792"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</row>
    <row r="793"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</row>
    <row r="794"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</row>
    <row r="795"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</row>
    <row r="796"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</row>
    <row r="797"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</row>
    <row r="798"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</row>
    <row r="799"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</row>
    <row r="800"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</row>
    <row r="801"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</row>
    <row r="802"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</row>
    <row r="803"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</row>
    <row r="804"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</row>
    <row r="805"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</row>
    <row r="806"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</row>
    <row r="807"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</row>
    <row r="808"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</row>
    <row r="809"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</row>
    <row r="810"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</row>
    <row r="811"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</row>
    <row r="812"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</row>
    <row r="813"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</row>
    <row r="814"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</row>
    <row r="815"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</row>
    <row r="816"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</row>
    <row r="817"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</row>
    <row r="818"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</row>
    <row r="819"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</row>
    <row r="820"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</row>
    <row r="821"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</row>
    <row r="822"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</row>
    <row r="823"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</row>
    <row r="824"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</row>
    <row r="825"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</row>
    <row r="826"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</row>
    <row r="827"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</row>
    <row r="828"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</row>
    <row r="829"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</row>
    <row r="830"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</row>
    <row r="831"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</row>
    <row r="832"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</row>
    <row r="833"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</row>
    <row r="834"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</row>
    <row r="835"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</row>
    <row r="836"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</row>
    <row r="837"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</row>
    <row r="838"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</row>
    <row r="839"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</row>
    <row r="840"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</row>
    <row r="841"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</row>
    <row r="842"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</row>
    <row r="843"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</row>
    <row r="844"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</row>
    <row r="845"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</row>
    <row r="846"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</row>
    <row r="847"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</row>
    <row r="848"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</row>
    <row r="849"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</row>
    <row r="850"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</row>
    <row r="851"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</row>
    <row r="852"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</row>
    <row r="853"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</row>
    <row r="854"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</row>
    <row r="855"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</row>
    <row r="856"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</row>
    <row r="857"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</row>
    <row r="858"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</row>
    <row r="859"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</row>
    <row r="860"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</row>
    <row r="861"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</row>
    <row r="862"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</row>
    <row r="863"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</row>
    <row r="864"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</row>
    <row r="865"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</row>
    <row r="866"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</row>
    <row r="867"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</row>
    <row r="868"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</row>
    <row r="869"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</row>
    <row r="870"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</row>
    <row r="871"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</row>
    <row r="872"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</row>
    <row r="873"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</row>
    <row r="874"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</row>
    <row r="875"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</row>
    <row r="876"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</row>
    <row r="877"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</row>
    <row r="878"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</row>
    <row r="879"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</row>
    <row r="880"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</row>
    <row r="881"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</row>
    <row r="882"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</row>
    <row r="883"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</row>
    <row r="884"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</row>
    <row r="885"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</row>
    <row r="886"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</row>
    <row r="887"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</row>
    <row r="888"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</row>
    <row r="889"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</row>
    <row r="890"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</row>
    <row r="891"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</row>
    <row r="892"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</row>
    <row r="893"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</row>
    <row r="894"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</row>
    <row r="895"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</row>
    <row r="896"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</row>
    <row r="897"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</row>
    <row r="898"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</row>
    <row r="899"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</row>
    <row r="900"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</row>
    <row r="901"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</row>
    <row r="902"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</row>
    <row r="903"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</row>
    <row r="904"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</row>
    <row r="905"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</row>
    <row r="906"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</row>
    <row r="907"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</row>
    <row r="908"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</row>
    <row r="909"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</row>
    <row r="910"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</row>
    <row r="911"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</row>
    <row r="912"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</row>
    <row r="913"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</row>
    <row r="914"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</row>
    <row r="915"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</row>
    <row r="916"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</row>
    <row r="917"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</row>
    <row r="918"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</row>
    <row r="919"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</row>
    <row r="920"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</row>
    <row r="921"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</row>
    <row r="922"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</row>
    <row r="923"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</row>
    <row r="924"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</row>
    <row r="925"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</row>
    <row r="926"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</row>
    <row r="927"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</row>
    <row r="928"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</row>
    <row r="929"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</row>
    <row r="930"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</row>
    <row r="931"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</row>
    <row r="932"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</row>
    <row r="933"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</row>
    <row r="934"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</row>
    <row r="935"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</row>
    <row r="936"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</row>
    <row r="937"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</row>
    <row r="938"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</row>
    <row r="939"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</row>
    <row r="940"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</row>
    <row r="941"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</row>
    <row r="942"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</row>
    <row r="943"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</row>
    <row r="944"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</row>
    <row r="945"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</row>
    <row r="946"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</row>
    <row r="947"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</row>
    <row r="948"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</row>
    <row r="949"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</row>
    <row r="950"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</row>
    <row r="951"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</row>
    <row r="952"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</row>
    <row r="953"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</row>
    <row r="954"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</row>
    <row r="955"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</row>
    <row r="956"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</row>
    <row r="957"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</row>
    <row r="958"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</row>
    <row r="959"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</row>
    <row r="960"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</row>
    <row r="961"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</row>
    <row r="962"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</row>
    <row r="963"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</row>
    <row r="964"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</row>
    <row r="965"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</row>
    <row r="966"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</row>
    <row r="967"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</row>
    <row r="968"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</row>
    <row r="969"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</row>
    <row r="970"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</row>
    <row r="971"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</row>
    <row r="972"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</row>
    <row r="973"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</row>
    <row r="974"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</row>
    <row r="975"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</row>
    <row r="976"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</row>
    <row r="977"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</row>
    <row r="978"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</row>
    <row r="979"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</row>
    <row r="980"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</row>
    <row r="981"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</row>
    <row r="982"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</row>
    <row r="983"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</row>
    <row r="984"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</row>
    <row r="985"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</row>
    <row r="986"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</row>
    <row r="987"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</row>
    <row r="988"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</row>
    <row r="989"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</row>
    <row r="990"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</row>
    <row r="991"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</row>
    <row r="992"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</row>
    <row r="993"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</row>
    <row r="994"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</row>
    <row r="995"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</row>
    <row r="996"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</row>
    <row r="997"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</row>
    <row r="998"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</row>
    <row r="999"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</row>
    <row r="1000"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</row>
    <row r="1001"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</row>
    <row r="1002"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  <c r="AC1002" s="11"/>
    </row>
    <row r="1003">
      <c r="R1003" s="11"/>
      <c r="S1003" s="1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5.75"/>
    <col customWidth="1" min="3" max="3" width="18.38"/>
    <col customWidth="1" min="4" max="4" width="18.0"/>
    <col customWidth="1" min="5" max="5" width="17.0"/>
    <col customWidth="1" min="6" max="7" width="17.38"/>
  </cols>
  <sheetData>
    <row r="1" ht="22.5" customHeight="1">
      <c r="A1" s="10" t="s">
        <v>5</v>
      </c>
      <c r="B1" s="10" t="s">
        <v>7</v>
      </c>
      <c r="C1" s="14" t="s">
        <v>10</v>
      </c>
      <c r="D1" s="17" t="s">
        <v>12</v>
      </c>
      <c r="E1" s="17" t="s">
        <v>14</v>
      </c>
    </row>
    <row r="2" ht="22.5" customHeight="1">
      <c r="A2" s="19" t="s">
        <v>16</v>
      </c>
      <c r="B2" s="19" t="s">
        <v>19</v>
      </c>
      <c r="C2" s="21">
        <v>45931.0</v>
      </c>
      <c r="D2" s="22"/>
      <c r="E2" s="21">
        <v>45839.0</v>
      </c>
    </row>
    <row r="3" ht="22.5" customHeight="1">
      <c r="A3" s="27" t="s">
        <v>28</v>
      </c>
      <c r="B3" s="27" t="s">
        <v>30</v>
      </c>
      <c r="C3" s="21">
        <v>46266.0</v>
      </c>
      <c r="D3" s="22">
        <v>1.0</v>
      </c>
      <c r="E3" s="21"/>
    </row>
    <row r="4" ht="22.5" customHeight="1">
      <c r="A4" s="19" t="s">
        <v>36</v>
      </c>
      <c r="B4" s="19" t="s">
        <v>38</v>
      </c>
      <c r="C4" s="21">
        <v>46327.0</v>
      </c>
      <c r="D4" s="22">
        <v>2.0</v>
      </c>
      <c r="E4" s="21"/>
    </row>
    <row r="5" ht="22.5" customHeight="1">
      <c r="A5" s="19" t="s">
        <v>39</v>
      </c>
      <c r="B5" s="19" t="s">
        <v>41</v>
      </c>
      <c r="C5" s="21">
        <v>46569.0</v>
      </c>
      <c r="D5" s="22">
        <v>5.0</v>
      </c>
      <c r="E5" s="21"/>
    </row>
    <row r="6" ht="22.5" customHeight="1">
      <c r="A6" s="27" t="s">
        <v>46</v>
      </c>
      <c r="B6" s="27" t="s">
        <v>47</v>
      </c>
      <c r="C6" s="21">
        <v>46631.0</v>
      </c>
      <c r="D6" s="22">
        <v>4.0</v>
      </c>
      <c r="E6" s="21"/>
    </row>
    <row r="7" ht="22.5" customHeight="1">
      <c r="A7" s="40" t="s">
        <v>55</v>
      </c>
      <c r="B7" s="40" t="s">
        <v>58</v>
      </c>
      <c r="C7" s="21">
        <v>46874.0</v>
      </c>
      <c r="D7" s="22">
        <v>3.0</v>
      </c>
      <c r="E7" s="21"/>
    </row>
  </sheetData>
  <dataValidations>
    <dataValidation type="custom" allowBlank="1" showDropDown="1" sqref="C2:C7 E2:E7">
      <formula1>OR(NOT(ISERROR(DATEVALUE(C2))), AND(ISNUMBER(C2), LEFT(CELL("format", C2))="D"))</formula1>
    </dataValidation>
    <dataValidation type="custom" allowBlank="1" showDropDown="1" sqref="D2:D7">
      <formula1>AND(ISNUMBER(D2),(NOT(OR(NOT(ISERROR(DATEVALUE(D2))), AND(ISNUMBER(D2), LEFT(CELL("format", D2))="D")))))</formula1>
    </dataValidation>
    <dataValidation allowBlank="1" showDropDown="1" sqref="A2:B7"/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9.88"/>
    <col customWidth="1" min="4" max="4" width="14.13"/>
    <col customWidth="1" min="5" max="5" width="15.38"/>
    <col customWidth="1" min="6" max="6" width="13.75"/>
  </cols>
  <sheetData>
    <row r="1" ht="22.5" customHeight="1">
      <c r="A1" s="34" t="s">
        <v>40</v>
      </c>
      <c r="B1" s="34" t="s">
        <v>21</v>
      </c>
      <c r="C1" s="34" t="s">
        <v>7</v>
      </c>
      <c r="D1" s="34" t="s">
        <v>4</v>
      </c>
      <c r="E1" s="36" t="s">
        <v>26</v>
      </c>
    </row>
    <row r="2" ht="22.5" customHeight="1">
      <c r="A2" s="27" t="s">
        <v>49</v>
      </c>
      <c r="B2" s="30" t="s">
        <v>52</v>
      </c>
      <c r="C2" s="37" t="s">
        <v>19</v>
      </c>
      <c r="D2" s="27" t="s">
        <v>19</v>
      </c>
      <c r="E2" s="39">
        <v>2000.0</v>
      </c>
    </row>
    <row r="3" ht="22.5" customHeight="1">
      <c r="A3" s="27" t="s">
        <v>60</v>
      </c>
      <c r="B3" s="30" t="s">
        <v>52</v>
      </c>
      <c r="C3" s="44" t="s">
        <v>30</v>
      </c>
      <c r="D3" s="27" t="s">
        <v>30</v>
      </c>
      <c r="E3" s="39">
        <v>2000.0</v>
      </c>
    </row>
    <row r="4" ht="22.5" customHeight="1">
      <c r="A4" s="27" t="s">
        <v>64</v>
      </c>
      <c r="B4" s="30" t="s">
        <v>52</v>
      </c>
      <c r="C4" s="44" t="s">
        <v>47</v>
      </c>
      <c r="D4" s="27" t="s">
        <v>47</v>
      </c>
      <c r="E4" s="46">
        <v>2000.0</v>
      </c>
    </row>
    <row r="5" ht="22.5" customHeight="1">
      <c r="A5" s="27" t="s">
        <v>71</v>
      </c>
      <c r="B5" s="30" t="s">
        <v>52</v>
      </c>
      <c r="C5" s="37" t="s">
        <v>38</v>
      </c>
      <c r="D5" s="27" t="s">
        <v>38</v>
      </c>
      <c r="E5" s="46">
        <v>2500.0</v>
      </c>
    </row>
    <row r="6" ht="22.5" customHeight="1">
      <c r="A6" s="27" t="s">
        <v>75</v>
      </c>
      <c r="B6" s="30" t="s">
        <v>52</v>
      </c>
      <c r="C6" s="37" t="s">
        <v>41</v>
      </c>
      <c r="D6" s="27" t="s">
        <v>41</v>
      </c>
      <c r="E6" s="46">
        <v>1000.0</v>
      </c>
    </row>
    <row r="7" ht="22.5" customHeight="1">
      <c r="A7" s="27" t="s">
        <v>83</v>
      </c>
      <c r="B7" s="30" t="s">
        <v>52</v>
      </c>
      <c r="C7" s="44" t="s">
        <v>58</v>
      </c>
      <c r="D7" s="27" t="s">
        <v>86</v>
      </c>
      <c r="E7" s="46">
        <v>30000.0</v>
      </c>
    </row>
    <row r="8" ht="22.5" customHeight="1">
      <c r="A8" s="27" t="s">
        <v>87</v>
      </c>
      <c r="B8" s="30" t="s">
        <v>52</v>
      </c>
      <c r="C8" s="44" t="s">
        <v>58</v>
      </c>
      <c r="D8" s="27" t="s">
        <v>88</v>
      </c>
      <c r="E8" s="46">
        <v>1000.0</v>
      </c>
    </row>
    <row r="9" ht="22.5" customHeight="1">
      <c r="A9" s="27" t="s">
        <v>91</v>
      </c>
      <c r="B9" s="30" t="s">
        <v>52</v>
      </c>
      <c r="C9" s="44" t="s">
        <v>58</v>
      </c>
      <c r="D9" s="27" t="s">
        <v>94</v>
      </c>
      <c r="E9" s="46">
        <v>3000.0</v>
      </c>
    </row>
    <row r="10" ht="22.5" customHeight="1">
      <c r="A10" s="27" t="s">
        <v>96</v>
      </c>
      <c r="B10" s="30" t="s">
        <v>52</v>
      </c>
      <c r="C10" s="44" t="s">
        <v>58</v>
      </c>
      <c r="D10" s="27" t="s">
        <v>101</v>
      </c>
      <c r="E10" s="46">
        <v>200.0</v>
      </c>
    </row>
    <row r="11" ht="22.5" customHeight="1">
      <c r="A11" s="27" t="s">
        <v>104</v>
      </c>
      <c r="B11" s="30" t="s">
        <v>52</v>
      </c>
      <c r="C11" s="44" t="s">
        <v>58</v>
      </c>
      <c r="D11" s="27" t="s">
        <v>106</v>
      </c>
      <c r="E11" s="46">
        <v>300.0</v>
      </c>
    </row>
    <row r="12" ht="22.5" customHeight="1">
      <c r="A12" s="27" t="s">
        <v>108</v>
      </c>
      <c r="B12" s="30" t="s">
        <v>52</v>
      </c>
      <c r="C12" s="44" t="s">
        <v>58</v>
      </c>
      <c r="D12" s="27" t="s">
        <v>109</v>
      </c>
      <c r="E12" s="46">
        <v>1000.0</v>
      </c>
    </row>
    <row r="13" ht="22.5" customHeight="1">
      <c r="A13" s="27" t="s">
        <v>114</v>
      </c>
      <c r="B13" s="30" t="s">
        <v>52</v>
      </c>
      <c r="C13" s="44" t="s">
        <v>58</v>
      </c>
      <c r="D13" s="27" t="s">
        <v>116</v>
      </c>
      <c r="E13" s="46">
        <v>100.0</v>
      </c>
    </row>
  </sheetData>
  <dataValidations>
    <dataValidation allowBlank="1" showDropDown="1" sqref="A2:A13"/>
    <dataValidation type="list" allowBlank="1" sqref="B2:B13">
      <formula1>#REF!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9.88"/>
    <col customWidth="1" min="3" max="5" width="22.63"/>
    <col customWidth="1" min="6" max="6" width="14.88"/>
    <col customWidth="1" min="7" max="7" width="15.38"/>
  </cols>
  <sheetData>
    <row r="1" ht="22.5" customHeight="1">
      <c r="A1" s="48" t="s">
        <v>72</v>
      </c>
      <c r="B1" s="48" t="s">
        <v>21</v>
      </c>
      <c r="C1" s="48" t="s">
        <v>77</v>
      </c>
      <c r="D1" s="48" t="s">
        <v>79</v>
      </c>
      <c r="E1" s="50" t="s">
        <v>80</v>
      </c>
      <c r="F1" s="50" t="s">
        <v>81</v>
      </c>
    </row>
    <row r="2" ht="22.5" customHeight="1">
      <c r="A2" s="51" t="s">
        <v>82</v>
      </c>
      <c r="B2" s="51" t="s">
        <v>85</v>
      </c>
      <c r="C2" s="52">
        <v>231.85</v>
      </c>
      <c r="D2" s="53">
        <f>SUMIF(Transactions[Account], B2,Transactions[Amount])+C2</f>
        <v>231.85</v>
      </c>
      <c r="E2" s="55" t="s">
        <v>93</v>
      </c>
      <c r="F2" s="55" t="s">
        <v>95</v>
      </c>
    </row>
    <row r="3" ht="22.5" customHeight="1">
      <c r="A3" s="57" t="s">
        <v>97</v>
      </c>
      <c r="B3" s="57" t="s">
        <v>100</v>
      </c>
      <c r="C3" s="52">
        <v>500.0</v>
      </c>
      <c r="D3" s="53">
        <f>SUMIF(Transactions[Account], B3,Transactions[Amount])+C3</f>
        <v>500</v>
      </c>
      <c r="E3" s="55" t="s">
        <v>93</v>
      </c>
      <c r="F3" s="55" t="s">
        <v>95</v>
      </c>
    </row>
    <row r="4" ht="22.5" customHeight="1">
      <c r="A4" s="57" t="s">
        <v>110</v>
      </c>
      <c r="B4" s="57" t="s">
        <v>112</v>
      </c>
      <c r="C4" s="52">
        <v>500.0</v>
      </c>
      <c r="D4" s="53">
        <f>SUMIF(Transactions[Account], B4,Transactions[Amount])+C4</f>
        <v>500</v>
      </c>
      <c r="E4" s="55" t="s">
        <v>93</v>
      </c>
      <c r="F4" s="55" t="s">
        <v>95</v>
      </c>
    </row>
    <row r="5" ht="22.5" customHeight="1">
      <c r="A5" s="57" t="s">
        <v>118</v>
      </c>
      <c r="B5" s="57" t="s">
        <v>34</v>
      </c>
      <c r="C5" s="52">
        <v>3000.0</v>
      </c>
      <c r="D5" s="53">
        <f>SUMIF(Transactions[Account], B5,Transactions[Amount])+C5</f>
        <v>7432.2</v>
      </c>
      <c r="E5" s="55" t="s">
        <v>93</v>
      </c>
      <c r="F5" s="55" t="s">
        <v>95</v>
      </c>
    </row>
    <row r="6" ht="22.5" customHeight="1">
      <c r="A6" s="57" t="s">
        <v>123</v>
      </c>
      <c r="B6" s="57" t="s">
        <v>54</v>
      </c>
      <c r="C6" s="52">
        <v>0.0</v>
      </c>
      <c r="D6" s="53">
        <f>SUMIF(Transactions[Account], B6,Transactions[Amount])+C6</f>
        <v>-200.3</v>
      </c>
      <c r="E6" s="55" t="s">
        <v>127</v>
      </c>
      <c r="F6" s="55" t="s">
        <v>129</v>
      </c>
    </row>
    <row r="7" ht="22.5" customHeight="1">
      <c r="A7" s="57" t="s">
        <v>132</v>
      </c>
      <c r="B7" s="57" t="s">
        <v>134</v>
      </c>
      <c r="C7" s="52">
        <v>0.0</v>
      </c>
      <c r="D7" s="53">
        <f>SUMIF(Transactions[Account], B7,Transactions[Amount])+C7</f>
        <v>-533.31</v>
      </c>
      <c r="E7" s="55" t="s">
        <v>127</v>
      </c>
      <c r="F7" s="55" t="s">
        <v>129</v>
      </c>
    </row>
    <row r="8" ht="22.5" customHeight="1">
      <c r="A8" s="57" t="s">
        <v>141</v>
      </c>
      <c r="B8" s="57" t="s">
        <v>142</v>
      </c>
      <c r="C8" s="52">
        <v>0.0</v>
      </c>
      <c r="D8" s="53">
        <f>SUMIF(Transactions[Account], B8,Transactions[Amount])+C8</f>
        <v>137.92</v>
      </c>
      <c r="E8" s="55" t="s">
        <v>93</v>
      </c>
      <c r="F8" s="55" t="s">
        <v>17</v>
      </c>
    </row>
    <row r="9" ht="22.5" customHeight="1">
      <c r="A9" s="57" t="s">
        <v>144</v>
      </c>
      <c r="B9" s="57" t="s">
        <v>145</v>
      </c>
      <c r="C9" s="52">
        <v>0.0</v>
      </c>
      <c r="D9" s="53">
        <f>SUMIF(Transactions[Account], B9,Transactions[Amount])+C9</f>
        <v>43.87</v>
      </c>
      <c r="E9" s="55" t="s">
        <v>93</v>
      </c>
      <c r="F9" s="55" t="s">
        <v>17</v>
      </c>
    </row>
    <row r="10" ht="22.5" customHeight="1">
      <c r="A10" s="57" t="s">
        <v>149</v>
      </c>
      <c r="B10" s="57" t="s">
        <v>52</v>
      </c>
      <c r="C10" s="52">
        <v>16509.44</v>
      </c>
      <c r="D10" s="53">
        <f>SUMIF(Transactions[Account], B10,Transactions[Amount])+C10</f>
        <v>35704.85</v>
      </c>
      <c r="E10" s="55" t="s">
        <v>93</v>
      </c>
      <c r="F10" s="55" t="s">
        <v>17</v>
      </c>
    </row>
    <row r="11" ht="22.5" customHeight="1">
      <c r="A11" s="57" t="s">
        <v>150</v>
      </c>
      <c r="B11" s="57" t="s">
        <v>152</v>
      </c>
      <c r="C11" s="52">
        <v>36678.23</v>
      </c>
      <c r="D11" s="53">
        <f>SUMIF(Transactions[Account], B11,Transactions[Amount])+C11</f>
        <v>36678.23</v>
      </c>
      <c r="E11" s="55" t="s">
        <v>93</v>
      </c>
      <c r="F11" s="55" t="s">
        <v>17</v>
      </c>
    </row>
    <row r="12" ht="22.5" customHeight="1">
      <c r="A12" s="57" t="s">
        <v>155</v>
      </c>
      <c r="B12" s="57" t="s">
        <v>102</v>
      </c>
      <c r="C12" s="52">
        <v>20000.0</v>
      </c>
      <c r="D12" s="53">
        <f>SUMIF(Transactions[Account], B12,Transactions[Amount])+C12</f>
        <v>27714.99</v>
      </c>
      <c r="E12" s="55" t="s">
        <v>93</v>
      </c>
      <c r="F12" s="55" t="s">
        <v>22</v>
      </c>
    </row>
    <row r="13" ht="22.5" customHeight="1">
      <c r="A13" s="57" t="s">
        <v>157</v>
      </c>
      <c r="B13" s="57" t="s">
        <v>121</v>
      </c>
      <c r="C13" s="52">
        <v>20000.0</v>
      </c>
      <c r="D13" s="53">
        <f>SUMIF(Transactions[Account], B13,Transactions[Amount])+C13</f>
        <v>27601</v>
      </c>
      <c r="E13" s="55" t="s">
        <v>93</v>
      </c>
      <c r="F13" s="55" t="s">
        <v>22</v>
      </c>
    </row>
  </sheetData>
  <conditionalFormatting sqref="C1:E13">
    <cfRule type="cellIs" dxfId="8" priority="1" operator="lessThan">
      <formula>0</formula>
    </cfRule>
  </conditionalFormatting>
  <conditionalFormatting sqref="C1:E13">
    <cfRule type="cellIs" dxfId="9" priority="2" operator="greaterThanOrEqual">
      <formula>0</formula>
    </cfRule>
  </conditionalFormatting>
  <dataValidations>
    <dataValidation type="list" allowBlank="1" sqref="F2:F13">
      <formula1>"Chequing,Credit Card,Investments,Savings"</formula1>
    </dataValidation>
    <dataValidation type="list" allowBlank="1" sqref="E2:E13">
      <formula1>"Assets,Liabilities"</formula1>
    </dataValidation>
    <dataValidation type="custom" allowBlank="1" showDropDown="1" sqref="C2:D13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2" width="15.0"/>
    <col customWidth="1" min="3" max="3" width="19.38"/>
    <col customWidth="1" min="4" max="4" width="18.63"/>
    <col customWidth="1" min="5" max="5" width="10.88"/>
    <col customWidth="1" min="6" max="6" width="11.13"/>
    <col customWidth="1" min="7" max="7" width="17.75"/>
    <col customWidth="1" min="8" max="8" width="12.25"/>
    <col customWidth="1" min="9" max="9" width="10.88"/>
    <col customWidth="1" min="10" max="10" width="13.13"/>
  </cols>
  <sheetData>
    <row r="1" ht="22.5" customHeight="1">
      <c r="A1" s="34" t="s">
        <v>122</v>
      </c>
      <c r="B1" s="34" t="s">
        <v>18</v>
      </c>
      <c r="C1" s="63" t="s">
        <v>21</v>
      </c>
      <c r="D1" s="34" t="s">
        <v>2</v>
      </c>
      <c r="E1" s="63" t="s">
        <v>124</v>
      </c>
      <c r="F1" s="63" t="s">
        <v>126</v>
      </c>
      <c r="G1" s="64" t="s">
        <v>128</v>
      </c>
      <c r="H1" s="34" t="s">
        <v>27</v>
      </c>
      <c r="I1" s="34" t="s">
        <v>130</v>
      </c>
      <c r="J1" s="34" t="s">
        <v>131</v>
      </c>
      <c r="K1" s="34" t="s">
        <v>133</v>
      </c>
      <c r="L1" s="25" t="s">
        <v>135</v>
      </c>
    </row>
    <row r="2" ht="22.5" customHeight="1">
      <c r="A2" s="65" t="s">
        <v>137</v>
      </c>
      <c r="B2" s="66">
        <v>45656.0</v>
      </c>
      <c r="C2" s="30" t="s">
        <v>102</v>
      </c>
      <c r="D2" s="30" t="s">
        <v>138</v>
      </c>
      <c r="E2" s="30" t="s">
        <v>139</v>
      </c>
      <c r="F2" s="67" t="s">
        <v>140</v>
      </c>
      <c r="G2" s="68" t="str">
        <f t="array" ref="G2">_xlfn.XLOOKUP( F2, Investments_Live_Price[Ticker], Investments_Live_Price[Investment Name], "" )</f>
        <v>Vanguard S&amp;P 500 Index ETF</v>
      </c>
      <c r="H2" s="69">
        <v>22.39</v>
      </c>
      <c r="I2" s="52">
        <v>150.350006103515</v>
      </c>
      <c r="J2" s="70">
        <f>IF( Investments[Event]="Buy", -(Investments[Qty] * Investments[Price]), Investments[Qty] * Investments[Price] )</f>
        <v>-3366.336637</v>
      </c>
      <c r="K2" s="71">
        <v>0.0</v>
      </c>
      <c r="L2" s="72">
        <f t="shared" ref="L2:L59" si="1">IF( E2="Sell", -H2, H2 )</f>
        <v>22.39</v>
      </c>
    </row>
    <row r="3" ht="22.5" customHeight="1">
      <c r="A3" s="65" t="s">
        <v>151</v>
      </c>
      <c r="B3" s="66">
        <v>45656.0</v>
      </c>
      <c r="C3" s="30" t="s">
        <v>121</v>
      </c>
      <c r="D3" s="55" t="s">
        <v>138</v>
      </c>
      <c r="E3" s="55" t="s">
        <v>139</v>
      </c>
      <c r="F3" s="67" t="s">
        <v>154</v>
      </c>
      <c r="G3" s="68" t="str">
        <f t="array" ref="G3">_xlfn.XLOOKUP( F3, Investments_Live_Price[Ticker], Investments_Live_Price[Investment Name], "" )</f>
        <v>Vanguard FTSE Developed All Cap ex North America Index ETF</v>
      </c>
      <c r="H3" s="69">
        <v>118.62</v>
      </c>
      <c r="I3" s="52">
        <v>34.310001373291</v>
      </c>
      <c r="J3" s="70">
        <f>IF( Investments[Event]="Buy", -(Investments[Qty] * Investments[Price]), Investments[Qty] * Investments[Price] )</f>
        <v>-4069.852363</v>
      </c>
      <c r="K3" s="71"/>
      <c r="L3" s="72">
        <f t="shared" si="1"/>
        <v>118.62</v>
      </c>
    </row>
    <row r="4" ht="22.5" customHeight="1">
      <c r="A4" s="65" t="s">
        <v>160</v>
      </c>
      <c r="B4" s="66">
        <v>45656.0</v>
      </c>
      <c r="C4" s="30" t="s">
        <v>102</v>
      </c>
      <c r="D4" s="30" t="s">
        <v>138</v>
      </c>
      <c r="E4" s="30" t="s">
        <v>139</v>
      </c>
      <c r="F4" s="67" t="s">
        <v>162</v>
      </c>
      <c r="G4" s="68" t="str">
        <f t="array" ref="G4">_xlfn.XLOOKUP( F4, Investments_Live_Price[Ticker], Investments_Live_Price[Investment Name], "" )</f>
        <v>iShares Core S&amp;P/TSX Capped Composite Index ETF</v>
      </c>
      <c r="H4" s="69">
        <v>90.0</v>
      </c>
      <c r="I4" s="52">
        <v>39.1899986267089</v>
      </c>
      <c r="J4" s="70">
        <f>IF( Investments[Event]="Buy", -(Investments[Qty] * Investments[Price]), Investments[Qty] * Investments[Price] )</f>
        <v>-3527.099876</v>
      </c>
      <c r="K4" s="71"/>
      <c r="L4" s="72">
        <f t="shared" si="1"/>
        <v>90</v>
      </c>
    </row>
    <row r="5" ht="22.5" customHeight="1">
      <c r="A5" s="65" t="s">
        <v>173</v>
      </c>
      <c r="B5" s="66">
        <v>45656.0</v>
      </c>
      <c r="C5" s="30" t="s">
        <v>121</v>
      </c>
      <c r="D5" s="55" t="s">
        <v>138</v>
      </c>
      <c r="E5" s="55" t="s">
        <v>139</v>
      </c>
      <c r="F5" s="67" t="s">
        <v>178</v>
      </c>
      <c r="G5" s="68" t="str">
        <f t="array" ref="G5">_xlfn.XLOOKUP( F5, Investments_Live_Price[Ticker], Investments_Live_Price[Investment Name], "" )</f>
        <v>iShares S&amp;P/TSX Capped REIT Index ETF</v>
      </c>
      <c r="H5" s="69">
        <v>233.56</v>
      </c>
      <c r="I5" s="52">
        <v>14.7100000381469</v>
      </c>
      <c r="J5" s="70">
        <f>IF( Investments[Event]="Buy", -(Investments[Qty] * Investments[Price]), Investments[Qty] * Investments[Price] )</f>
        <v>-3435.667609</v>
      </c>
      <c r="K5" s="71"/>
      <c r="L5" s="72">
        <f t="shared" si="1"/>
        <v>233.56</v>
      </c>
    </row>
    <row r="6" ht="22.5" customHeight="1">
      <c r="A6" s="65" t="s">
        <v>186</v>
      </c>
      <c r="B6" s="66">
        <v>45656.0</v>
      </c>
      <c r="C6" s="30" t="s">
        <v>102</v>
      </c>
      <c r="D6" s="30" t="s">
        <v>138</v>
      </c>
      <c r="E6" s="30" t="s">
        <v>139</v>
      </c>
      <c r="F6" s="67" t="s">
        <v>190</v>
      </c>
      <c r="G6" s="68" t="str">
        <f t="array" ref="G6">_xlfn.XLOOKUP( F6, Investments_Live_Price[Ticker], Investments_Live_Price[Investment Name], "" )</f>
        <v>iShares S&amp;P/TSX SmallCap Index ETF</v>
      </c>
      <c r="H6" s="69">
        <v>152.8</v>
      </c>
      <c r="I6" s="52">
        <v>20.5699996948242</v>
      </c>
      <c r="J6" s="70">
        <f>IF( Investments[Event]="Buy", -(Investments[Qty] * Investments[Price]), Investments[Qty] * Investments[Price] )</f>
        <v>-3143.095953</v>
      </c>
      <c r="K6" s="71"/>
      <c r="L6" s="72">
        <f t="shared" si="1"/>
        <v>152.8</v>
      </c>
    </row>
    <row r="7" ht="22.5" customHeight="1">
      <c r="A7" s="65" t="s">
        <v>205</v>
      </c>
      <c r="B7" s="66">
        <v>45656.0</v>
      </c>
      <c r="C7" s="30" t="s">
        <v>121</v>
      </c>
      <c r="D7" s="55" t="s">
        <v>138</v>
      </c>
      <c r="E7" s="55" t="s">
        <v>139</v>
      </c>
      <c r="F7" s="67" t="s">
        <v>162</v>
      </c>
      <c r="G7" s="68" t="str">
        <f t="array" ref="G7">_xlfn.XLOOKUP( F7, Investments_Live_Price[Ticker], Investments_Live_Price[Investment Name], "" )</f>
        <v>iShares Core S&amp;P/TSX Capped Composite Index ETF</v>
      </c>
      <c r="H7" s="69">
        <v>78.79</v>
      </c>
      <c r="I7" s="52">
        <v>39.1899986267089</v>
      </c>
      <c r="J7" s="70">
        <f>IF( Investments[Event]="Buy", -(Investments[Qty] * Investments[Price]), Investments[Qty] * Investments[Price] )</f>
        <v>-3087.779992</v>
      </c>
      <c r="K7" s="71"/>
      <c r="L7" s="72">
        <f t="shared" si="1"/>
        <v>78.79</v>
      </c>
    </row>
    <row r="8" ht="22.5" customHeight="1">
      <c r="A8" s="84" t="s">
        <v>219</v>
      </c>
      <c r="B8" s="86">
        <v>45659.0</v>
      </c>
      <c r="C8" s="30" t="s">
        <v>102</v>
      </c>
      <c r="D8" s="30" t="s">
        <v>138</v>
      </c>
      <c r="E8" s="30" t="s">
        <v>139</v>
      </c>
      <c r="F8" s="67" t="s">
        <v>140</v>
      </c>
      <c r="G8" s="68" t="str">
        <f t="array" ref="G8">_xlfn.XLOOKUP( F8, Investments_Live_Price[Ticker], Investments_Live_Price[Investment Name], "" )</f>
        <v>Vanguard S&amp;P 500 Index ETF</v>
      </c>
      <c r="H8" s="69">
        <v>3.8</v>
      </c>
      <c r="I8" s="52">
        <v>149.869995117187</v>
      </c>
      <c r="J8" s="70">
        <f>IF( Investments[Event]="Buy", -(Investments[Qty] * Investments[Price]), Investments[Qty] * Investments[Price] )</f>
        <v>-569.5059814</v>
      </c>
      <c r="K8" s="70"/>
      <c r="L8" s="72">
        <f t="shared" si="1"/>
        <v>3.8</v>
      </c>
    </row>
    <row r="9" ht="22.5" customHeight="1">
      <c r="A9" s="84" t="s">
        <v>233</v>
      </c>
      <c r="B9" s="86">
        <v>45659.0</v>
      </c>
      <c r="C9" s="30" t="s">
        <v>121</v>
      </c>
      <c r="D9" s="55" t="s">
        <v>138</v>
      </c>
      <c r="E9" s="55" t="s">
        <v>139</v>
      </c>
      <c r="F9" s="67" t="s">
        <v>154</v>
      </c>
      <c r="G9" s="68" t="str">
        <f t="array" ref="G9">_xlfn.XLOOKUP( F9, Investments_Live_Price[Ticker], Investments_Live_Price[Investment Name], "" )</f>
        <v>Vanguard FTSE Developed All Cap ex North America Index ETF</v>
      </c>
      <c r="H9" s="69">
        <v>12.48</v>
      </c>
      <c r="I9" s="52">
        <v>34.310001373291</v>
      </c>
      <c r="J9" s="70">
        <f>IF( Investments[Event]="Buy", -(Investments[Qty] * Investments[Price]), Investments[Qty] * Investments[Price] )</f>
        <v>-428.1888171</v>
      </c>
      <c r="K9" s="70"/>
      <c r="L9" s="72">
        <f t="shared" si="1"/>
        <v>12.48</v>
      </c>
    </row>
    <row r="10" ht="22.5" customHeight="1">
      <c r="A10" s="84" t="s">
        <v>242</v>
      </c>
      <c r="B10" s="86">
        <v>45691.0</v>
      </c>
      <c r="C10" s="30" t="s">
        <v>102</v>
      </c>
      <c r="D10" s="30" t="s">
        <v>138</v>
      </c>
      <c r="E10" s="30" t="s">
        <v>139</v>
      </c>
      <c r="F10" s="67" t="s">
        <v>140</v>
      </c>
      <c r="G10" s="68" t="str">
        <f t="array" ref="G10">_xlfn.XLOOKUP( F10, Investments_Live_Price[Ticker], Investments_Live_Price[Investment Name], "" )</f>
        <v>Vanguard S&amp;P 500 Index ETF</v>
      </c>
      <c r="H10" s="69">
        <v>3.6</v>
      </c>
      <c r="I10" s="52">
        <v>154.940002441406</v>
      </c>
      <c r="J10" s="70">
        <f>IF( Investments[Event]="Buy", -(Investments[Qty] * Investments[Price]), Investments[Qty] * Investments[Price] )</f>
        <v>-557.7840088</v>
      </c>
      <c r="K10" s="70"/>
      <c r="L10" s="72">
        <f t="shared" si="1"/>
        <v>3.6</v>
      </c>
    </row>
    <row r="11" ht="22.5" customHeight="1">
      <c r="A11" s="84" t="s">
        <v>250</v>
      </c>
      <c r="B11" s="86">
        <v>45691.0</v>
      </c>
      <c r="C11" s="30" t="s">
        <v>121</v>
      </c>
      <c r="D11" s="55" t="s">
        <v>138</v>
      </c>
      <c r="E11" s="55" t="s">
        <v>139</v>
      </c>
      <c r="F11" s="67" t="s">
        <v>154</v>
      </c>
      <c r="G11" s="68" t="str">
        <f t="array" ref="G11">_xlfn.XLOOKUP( F11, Investments_Live_Price[Ticker], Investments_Live_Price[Investment Name], "" )</f>
        <v>Vanguard FTSE Developed All Cap ex North America Index ETF</v>
      </c>
      <c r="H11" s="69">
        <v>12.22</v>
      </c>
      <c r="I11" s="52">
        <v>35.9599990844726</v>
      </c>
      <c r="J11" s="70">
        <f>IF( Investments[Event]="Buy", -(Investments[Qty] * Investments[Price]), Investments[Qty] * Investments[Price] )</f>
        <v>-439.4311888</v>
      </c>
      <c r="K11" s="70"/>
      <c r="L11" s="72">
        <f t="shared" si="1"/>
        <v>12.22</v>
      </c>
    </row>
    <row r="12" ht="22.5" customHeight="1">
      <c r="A12" s="84" t="s">
        <v>257</v>
      </c>
      <c r="B12" s="86">
        <v>45719.0</v>
      </c>
      <c r="C12" s="30" t="s">
        <v>102</v>
      </c>
      <c r="D12" s="30" t="s">
        <v>138</v>
      </c>
      <c r="E12" s="30" t="s">
        <v>139</v>
      </c>
      <c r="F12" s="67" t="s">
        <v>140</v>
      </c>
      <c r="G12" s="68" t="str">
        <f t="array" ref="G12">_xlfn.XLOOKUP( F12, Investments_Live_Price[Ticker], Investments_Live_Price[Investment Name], "" )</f>
        <v>Vanguard S&amp;P 500 Index ETF</v>
      </c>
      <c r="H12" s="69">
        <v>3.8</v>
      </c>
      <c r="I12" s="52">
        <v>150.699996948242</v>
      </c>
      <c r="J12" s="70">
        <f>IF( Investments[Event]="Buy", -(Investments[Qty] * Investments[Price]), Investments[Qty] * Investments[Price] )</f>
        <v>-572.6599884</v>
      </c>
      <c r="K12" s="70"/>
      <c r="L12" s="72">
        <f t="shared" si="1"/>
        <v>3.8</v>
      </c>
    </row>
    <row r="13" ht="22.5" customHeight="1">
      <c r="A13" s="84" t="s">
        <v>266</v>
      </c>
      <c r="B13" s="86">
        <v>45719.0</v>
      </c>
      <c r="C13" s="30" t="s">
        <v>121</v>
      </c>
      <c r="D13" s="55" t="s">
        <v>138</v>
      </c>
      <c r="E13" s="30" t="s">
        <v>139</v>
      </c>
      <c r="F13" s="67" t="s">
        <v>154</v>
      </c>
      <c r="G13" s="68" t="str">
        <f t="array" ref="G13">_xlfn.XLOOKUP( F13, Investments_Live_Price[Ticker], Investments_Live_Price[Investment Name], "" )</f>
        <v>Vanguard FTSE Developed All Cap ex North America Index ETF</v>
      </c>
      <c r="H13" s="69">
        <v>11.42</v>
      </c>
      <c r="I13" s="52">
        <v>37.5299987792968</v>
      </c>
      <c r="J13" s="70">
        <f>IF( Investments[Event]="Buy", -(Investments[Qty] * Investments[Price]), Investments[Qty] * Investments[Price] )</f>
        <v>-428.5925861</v>
      </c>
      <c r="K13" s="70"/>
      <c r="L13" s="72">
        <f t="shared" si="1"/>
        <v>11.42</v>
      </c>
    </row>
    <row r="14" ht="22.5" customHeight="1">
      <c r="A14" s="84" t="s">
        <v>284</v>
      </c>
      <c r="B14" s="86">
        <v>45749.0</v>
      </c>
      <c r="C14" s="30" t="s">
        <v>102</v>
      </c>
      <c r="D14" s="30" t="s">
        <v>138</v>
      </c>
      <c r="E14" s="30" t="s">
        <v>139</v>
      </c>
      <c r="F14" s="67" t="s">
        <v>140</v>
      </c>
      <c r="G14" s="68" t="str">
        <f t="array" ref="G14">_xlfn.XLOOKUP( F14, Investments_Live_Price[Ticker], Investments_Live_Price[Investment Name], "" )</f>
        <v>Vanguard S&amp;P 500 Index ETF</v>
      </c>
      <c r="H14" s="69">
        <v>4.0</v>
      </c>
      <c r="I14" s="52">
        <v>143.919998168945</v>
      </c>
      <c r="J14" s="70">
        <f>IF( Investments[Event]="Buy", -(Investments[Qty] * Investments[Price]), Investments[Qty] * Investments[Price] )</f>
        <v>-575.6799927</v>
      </c>
      <c r="K14" s="70"/>
      <c r="L14" s="72">
        <f t="shared" si="1"/>
        <v>4</v>
      </c>
    </row>
    <row r="15" ht="22.5" customHeight="1">
      <c r="A15" s="84" t="s">
        <v>302</v>
      </c>
      <c r="B15" s="86">
        <v>45749.0</v>
      </c>
      <c r="C15" s="30" t="s">
        <v>121</v>
      </c>
      <c r="D15" s="55" t="s">
        <v>138</v>
      </c>
      <c r="E15" s="55" t="s">
        <v>139</v>
      </c>
      <c r="F15" s="67" t="s">
        <v>154</v>
      </c>
      <c r="G15" s="68" t="str">
        <f t="array" ref="G15">_xlfn.XLOOKUP( F15, Investments_Live_Price[Ticker], Investments_Live_Price[Investment Name], "" )</f>
        <v>Vanguard FTSE Developed All Cap ex North America Index ETF</v>
      </c>
      <c r="H15" s="69">
        <v>11.52</v>
      </c>
      <c r="I15" s="52">
        <v>36.7999992370605</v>
      </c>
      <c r="J15" s="70">
        <f>IF( Investments[Event]="Buy", -(Investments[Qty] * Investments[Price]), Investments[Qty] * Investments[Price] )</f>
        <v>-423.9359912</v>
      </c>
      <c r="K15" s="70"/>
      <c r="L15" s="72">
        <f t="shared" si="1"/>
        <v>11.52</v>
      </c>
    </row>
    <row r="16" ht="22.5" customHeight="1">
      <c r="A16" s="84" t="s">
        <v>307</v>
      </c>
      <c r="B16" s="86">
        <v>45779.0</v>
      </c>
      <c r="C16" s="30" t="s">
        <v>102</v>
      </c>
      <c r="D16" s="30" t="s">
        <v>138</v>
      </c>
      <c r="E16" s="30" t="s">
        <v>139</v>
      </c>
      <c r="F16" s="67" t="s">
        <v>140</v>
      </c>
      <c r="G16" s="68" t="str">
        <f t="array" ref="G16">_xlfn.XLOOKUP( F16, Investments_Live_Price[Ticker], Investments_Live_Price[Investment Name], "" )</f>
        <v>Vanguard S&amp;P 500 Index ETF</v>
      </c>
      <c r="H16" s="69">
        <v>4.0</v>
      </c>
      <c r="I16" s="52">
        <v>139.300003051757</v>
      </c>
      <c r="J16" s="70">
        <f>IF( Investments[Event]="Buy", -(Investments[Qty] * Investments[Price]), Investments[Qty] * Investments[Price] )</f>
        <v>-557.2000122</v>
      </c>
      <c r="K16" s="70"/>
      <c r="L16" s="72">
        <f t="shared" si="1"/>
        <v>4</v>
      </c>
    </row>
    <row r="17" ht="22.5" customHeight="1">
      <c r="A17" s="84" t="s">
        <v>312</v>
      </c>
      <c r="B17" s="86">
        <v>45779.0</v>
      </c>
      <c r="C17" s="30" t="s">
        <v>121</v>
      </c>
      <c r="D17" s="55" t="s">
        <v>138</v>
      </c>
      <c r="E17" s="55" t="s">
        <v>139</v>
      </c>
      <c r="F17" s="67" t="s">
        <v>154</v>
      </c>
      <c r="G17" s="68" t="str">
        <f t="array" ref="G17">_xlfn.XLOOKUP( F17, Investments_Live_Price[Ticker], Investments_Live_Price[Investment Name], "" )</f>
        <v>Vanguard FTSE Developed All Cap ex North America Index ETF</v>
      </c>
      <c r="H17" s="69">
        <v>11.71</v>
      </c>
      <c r="I17" s="52">
        <v>37.2999992370605</v>
      </c>
      <c r="J17" s="70">
        <f>IF( Investments[Event]="Buy", -(Investments[Qty] * Investments[Price]), Investments[Qty] * Investments[Price] )</f>
        <v>-436.7829911</v>
      </c>
      <c r="K17" s="70"/>
      <c r="L17" s="72">
        <f t="shared" si="1"/>
        <v>11.71</v>
      </c>
    </row>
    <row r="18" ht="22.5" customHeight="1">
      <c r="A18" s="84" t="s">
        <v>319</v>
      </c>
      <c r="B18" s="86">
        <v>45810.0</v>
      </c>
      <c r="C18" s="30" t="s">
        <v>102</v>
      </c>
      <c r="D18" s="30" t="s">
        <v>138</v>
      </c>
      <c r="E18" s="30" t="s">
        <v>139</v>
      </c>
      <c r="F18" s="67" t="s">
        <v>140</v>
      </c>
      <c r="G18" s="68" t="str">
        <f t="array" ref="G18">_xlfn.XLOOKUP( F18, Investments_Live_Price[Ticker], Investments_Live_Price[Investment Name], "" )</f>
        <v>Vanguard S&amp;P 500 Index ETF</v>
      </c>
      <c r="H18" s="69">
        <v>3.9</v>
      </c>
      <c r="I18" s="52">
        <v>144.5</v>
      </c>
      <c r="J18" s="70">
        <f>IF( Investments[Event]="Buy", -(Investments[Qty] * Investments[Price]), Investments[Qty] * Investments[Price] )</f>
        <v>-563.55</v>
      </c>
      <c r="K18" s="70"/>
      <c r="L18" s="72">
        <f t="shared" si="1"/>
        <v>3.9</v>
      </c>
    </row>
    <row r="19" ht="22.5" customHeight="1">
      <c r="A19" s="84" t="s">
        <v>323</v>
      </c>
      <c r="B19" s="86">
        <v>45810.0</v>
      </c>
      <c r="C19" s="30" t="s">
        <v>121</v>
      </c>
      <c r="D19" s="55" t="s">
        <v>138</v>
      </c>
      <c r="E19" s="55" t="s">
        <v>139</v>
      </c>
      <c r="F19" s="67" t="s">
        <v>154</v>
      </c>
      <c r="G19" s="68" t="str">
        <f t="array" ref="G19">_xlfn.XLOOKUP( F19, Investments_Live_Price[Ticker], Investments_Live_Price[Investment Name], "" )</f>
        <v>Vanguard FTSE Developed All Cap ex North America Index ETF</v>
      </c>
      <c r="H19" s="69">
        <v>11.17</v>
      </c>
      <c r="I19" s="52">
        <v>38.6699981689453</v>
      </c>
      <c r="J19" s="70">
        <f>IF( Investments[Event]="Buy", -(Investments[Qty] * Investments[Price]), Investments[Qty] * Investments[Price] )</f>
        <v>-431.9438795</v>
      </c>
      <c r="K19" s="70"/>
      <c r="L19" s="72">
        <f t="shared" si="1"/>
        <v>11.17</v>
      </c>
    </row>
    <row r="20" ht="22.5" customHeight="1">
      <c r="A20" s="84" t="s">
        <v>332</v>
      </c>
      <c r="B20" s="86">
        <v>45840.0</v>
      </c>
      <c r="C20" s="30" t="s">
        <v>102</v>
      </c>
      <c r="D20" s="30" t="s">
        <v>138</v>
      </c>
      <c r="E20" s="30" t="s">
        <v>139</v>
      </c>
      <c r="F20" s="67" t="s">
        <v>140</v>
      </c>
      <c r="G20" s="68" t="str">
        <f t="array" ref="G20">_xlfn.XLOOKUP( F20, Investments_Live_Price[Ticker], Investments_Live_Price[Investment Name], "" )</f>
        <v>Vanguard S&amp;P 500 Index ETF</v>
      </c>
      <c r="H20" s="69">
        <v>3.7</v>
      </c>
      <c r="I20" s="52">
        <v>150.0</v>
      </c>
      <c r="J20" s="70">
        <f>IF( Investments[Event]="Buy", -(Investments[Qty] * Investments[Price]), Investments[Qty] * Investments[Price] )</f>
        <v>-555</v>
      </c>
      <c r="K20" s="70"/>
      <c r="L20" s="72">
        <f t="shared" si="1"/>
        <v>3.7</v>
      </c>
    </row>
    <row r="21" ht="22.5" customHeight="1">
      <c r="A21" s="84" t="s">
        <v>338</v>
      </c>
      <c r="B21" s="86">
        <v>45840.0</v>
      </c>
      <c r="C21" s="30" t="s">
        <v>121</v>
      </c>
      <c r="D21" s="55" t="s">
        <v>138</v>
      </c>
      <c r="E21" s="55" t="s">
        <v>139</v>
      </c>
      <c r="F21" s="67" t="s">
        <v>154</v>
      </c>
      <c r="G21" s="68" t="str">
        <f t="array" ref="G21">_xlfn.XLOOKUP( F21, Investments_Live_Price[Ticker], Investments_Live_Price[Investment Name], "" )</f>
        <v>Vanguard FTSE Developed All Cap ex North America Index ETF</v>
      </c>
      <c r="H21" s="69">
        <v>11.44</v>
      </c>
      <c r="I21" s="52">
        <v>38.8349990844726</v>
      </c>
      <c r="J21" s="70">
        <f>IF( Investments[Event]="Buy", -(Investments[Qty] * Investments[Price]), Investments[Qty] * Investments[Price] )</f>
        <v>-444.2723895</v>
      </c>
      <c r="K21" s="70"/>
      <c r="L21" s="72">
        <f t="shared" si="1"/>
        <v>11.44</v>
      </c>
    </row>
    <row r="22" ht="22.5" customHeight="1">
      <c r="A22" s="84" t="s">
        <v>344</v>
      </c>
      <c r="B22" s="86">
        <v>45874.0</v>
      </c>
      <c r="C22" s="30" t="s">
        <v>102</v>
      </c>
      <c r="D22" s="30" t="s">
        <v>138</v>
      </c>
      <c r="E22" s="30" t="s">
        <v>139</v>
      </c>
      <c r="F22" s="67" t="s">
        <v>140</v>
      </c>
      <c r="G22" s="68" t="str">
        <f t="array" ref="G22">_xlfn.XLOOKUP( F22, Investments_Live_Price[Ticker], Investments_Live_Price[Investment Name], "" )</f>
        <v>Vanguard S&amp;P 500 Index ETF</v>
      </c>
      <c r="H22" s="69">
        <v>3.7</v>
      </c>
      <c r="I22" s="52">
        <v>153.929992675781</v>
      </c>
      <c r="J22" s="70">
        <f>IF( Investments[Event]="Buy", -(Investments[Qty] * Investments[Price]), Investments[Qty] * Investments[Price] )</f>
        <v>-569.5409729</v>
      </c>
      <c r="K22" s="70"/>
      <c r="L22" s="72">
        <f t="shared" si="1"/>
        <v>3.7</v>
      </c>
    </row>
    <row r="23" ht="22.5" customHeight="1">
      <c r="A23" s="84" t="s">
        <v>348</v>
      </c>
      <c r="B23" s="86">
        <v>45874.0</v>
      </c>
      <c r="C23" s="30" t="s">
        <v>121</v>
      </c>
      <c r="D23" s="55" t="s">
        <v>138</v>
      </c>
      <c r="E23" s="55" t="s">
        <v>139</v>
      </c>
      <c r="F23" s="67" t="s">
        <v>154</v>
      </c>
      <c r="G23" s="68" t="str">
        <f t="array" ref="G23">_xlfn.XLOOKUP( F23, Investments_Live_Price[Ticker], Investments_Live_Price[Investment Name], "" )</f>
        <v>Vanguard FTSE Developed All Cap ex North America Index ETF</v>
      </c>
      <c r="H23" s="69">
        <v>10.97</v>
      </c>
      <c r="I23" s="52">
        <v>39.0699996948242</v>
      </c>
      <c r="J23" s="70">
        <f>IF( Investments[Event]="Buy", -(Investments[Qty] * Investments[Price]), Investments[Qty] * Investments[Price] )</f>
        <v>-428.5978967</v>
      </c>
      <c r="K23" s="70"/>
      <c r="L23" s="72">
        <f t="shared" si="1"/>
        <v>10.97</v>
      </c>
    </row>
    <row r="24" ht="22.5" customHeight="1">
      <c r="A24" s="84" t="s">
        <v>351</v>
      </c>
      <c r="B24" s="86">
        <v>45902.0</v>
      </c>
      <c r="C24" s="30" t="s">
        <v>102</v>
      </c>
      <c r="D24" s="30" t="s">
        <v>138</v>
      </c>
      <c r="E24" s="30" t="s">
        <v>139</v>
      </c>
      <c r="F24" s="67" t="s">
        <v>140</v>
      </c>
      <c r="G24" s="68" t="str">
        <f t="array" ref="G24">_xlfn.XLOOKUP( F24, Investments_Live_Price[Ticker], Investments_Live_Price[Investment Name], "" )</f>
        <v>Vanguard S&amp;P 500 Index ETF</v>
      </c>
      <c r="H24" s="69">
        <v>3.5</v>
      </c>
      <c r="I24" s="52">
        <v>157.08999633789</v>
      </c>
      <c r="J24" s="70">
        <f>IF( Investments[Event]="Buy", -(Investments[Qty] * Investments[Price]), Investments[Qty] * Investments[Price] )</f>
        <v>-549.8149872</v>
      </c>
      <c r="K24" s="70"/>
      <c r="L24" s="72">
        <f t="shared" si="1"/>
        <v>3.5</v>
      </c>
    </row>
    <row r="25" ht="22.5" customHeight="1">
      <c r="A25" s="84" t="s">
        <v>356</v>
      </c>
      <c r="B25" s="86">
        <v>45902.0</v>
      </c>
      <c r="C25" s="30" t="s">
        <v>121</v>
      </c>
      <c r="D25" s="55" t="s">
        <v>138</v>
      </c>
      <c r="E25" s="55" t="s">
        <v>139</v>
      </c>
      <c r="F25" s="67" t="s">
        <v>154</v>
      </c>
      <c r="G25" s="68" t="str">
        <f t="array" ref="G25">_xlfn.XLOOKUP( F25, Investments_Live_Price[Ticker], Investments_Live_Price[Investment Name], "" )</f>
        <v>Vanguard FTSE Developed All Cap ex North America Index ETF</v>
      </c>
      <c r="H25" s="69">
        <v>11.17</v>
      </c>
      <c r="I25" s="52">
        <v>39.9099998474121</v>
      </c>
      <c r="J25" s="70">
        <f>IF( Investments[Event]="Buy", -(Investments[Qty] * Investments[Price]), Investments[Qty] * Investments[Price] )</f>
        <v>-445.7946983</v>
      </c>
      <c r="K25" s="70"/>
      <c r="L25" s="72">
        <f t="shared" si="1"/>
        <v>11.17</v>
      </c>
    </row>
    <row r="26" ht="22.5" customHeight="1">
      <c r="A26" s="84" t="s">
        <v>359</v>
      </c>
      <c r="B26" s="86">
        <v>45932.0</v>
      </c>
      <c r="C26" s="30" t="s">
        <v>102</v>
      </c>
      <c r="D26" s="30" t="s">
        <v>138</v>
      </c>
      <c r="E26" s="30" t="s">
        <v>139</v>
      </c>
      <c r="F26" s="67" t="s">
        <v>140</v>
      </c>
      <c r="G26" s="68" t="str">
        <f t="array" ref="G26">_xlfn.XLOOKUP( F26, Investments_Live_Price[Ticker], Investments_Live_Price[Investment Name], "" )</f>
        <v>Vanguard S&amp;P 500 Index ETF</v>
      </c>
      <c r="H26" s="69">
        <v>3.4</v>
      </c>
      <c r="I26" s="52">
        <v>166.279998779296</v>
      </c>
      <c r="J26" s="70">
        <f>IF( Investments[Event]="Buy", -(Investments[Qty] * Investments[Price]), Investments[Qty] * Investments[Price] )</f>
        <v>-565.3519958</v>
      </c>
      <c r="K26" s="70"/>
      <c r="L26" s="72">
        <f t="shared" si="1"/>
        <v>3.4</v>
      </c>
    </row>
    <row r="27" ht="22.5" customHeight="1">
      <c r="A27" s="84" t="s">
        <v>367</v>
      </c>
      <c r="B27" s="86">
        <v>45932.0</v>
      </c>
      <c r="C27" s="30" t="s">
        <v>121</v>
      </c>
      <c r="D27" s="55" t="s">
        <v>138</v>
      </c>
      <c r="E27" s="55" t="s">
        <v>139</v>
      </c>
      <c r="F27" s="67" t="s">
        <v>154</v>
      </c>
      <c r="G27" s="68" t="str">
        <f t="array" ref="G27">_xlfn.XLOOKUP( F27, Investments_Live_Price[Ticker], Investments_Live_Price[Investment Name], "" )</f>
        <v>Vanguard FTSE Developed All Cap ex North America Index ETF</v>
      </c>
      <c r="H27" s="69">
        <v>10.31</v>
      </c>
      <c r="I27" s="52">
        <v>41.9700012207031</v>
      </c>
      <c r="J27" s="70">
        <f>IF( Investments[Event]="Buy", -(Investments[Qty] * Investments[Price]), Investments[Qty] * Investments[Price] )</f>
        <v>-432.7107126</v>
      </c>
      <c r="K27" s="70"/>
      <c r="L27" s="72">
        <f t="shared" si="1"/>
        <v>10.31</v>
      </c>
    </row>
    <row r="28" ht="22.5" customHeight="1">
      <c r="A28" s="84" t="s">
        <v>373</v>
      </c>
      <c r="B28" s="86">
        <v>45964.0</v>
      </c>
      <c r="C28" s="30" t="s">
        <v>102</v>
      </c>
      <c r="D28" s="30" t="s">
        <v>138</v>
      </c>
      <c r="E28" s="30" t="s">
        <v>139</v>
      </c>
      <c r="F28" s="67" t="s">
        <v>140</v>
      </c>
      <c r="G28" s="68" t="str">
        <f t="array" ref="G28">_xlfn.XLOOKUP( F28, Investments_Live_Price[Ticker], Investments_Live_Price[Investment Name], "" )</f>
        <v>Vanguard S&amp;P 500 Index ETF</v>
      </c>
      <c r="H28" s="69">
        <v>3.3</v>
      </c>
      <c r="I28" s="52">
        <v>170.800003051757</v>
      </c>
      <c r="J28" s="70">
        <f>IF( Investments[Event]="Buy", -(Investments[Qty] * Investments[Price]), Investments[Qty] * Investments[Price] )</f>
        <v>-563.6400101</v>
      </c>
      <c r="K28" s="70"/>
      <c r="L28" s="72">
        <f t="shared" si="1"/>
        <v>3.3</v>
      </c>
    </row>
    <row r="29" ht="22.5" customHeight="1">
      <c r="A29" s="84" t="s">
        <v>380</v>
      </c>
      <c r="B29" s="86">
        <v>45964.0</v>
      </c>
      <c r="C29" s="30" t="s">
        <v>121</v>
      </c>
      <c r="D29" s="55" t="s">
        <v>138</v>
      </c>
      <c r="E29" s="55" t="s">
        <v>139</v>
      </c>
      <c r="F29" s="67" t="s">
        <v>154</v>
      </c>
      <c r="G29" s="68" t="str">
        <f t="array" ref="G29">_xlfn.XLOOKUP( F29, Investments_Live_Price[Ticker], Investments_Live_Price[Investment Name], "" )</f>
        <v>Vanguard FTSE Developed All Cap ex North America Index ETF</v>
      </c>
      <c r="H29" s="69">
        <v>10.08</v>
      </c>
      <c r="I29" s="52">
        <v>42.7200012207031</v>
      </c>
      <c r="J29" s="70">
        <f>IF( Investments[Event]="Buy", -(Investments[Qty] * Investments[Price]), Investments[Qty] * Investments[Price] )</f>
        <v>-430.6176123</v>
      </c>
      <c r="K29" s="70"/>
      <c r="L29" s="72">
        <f t="shared" si="1"/>
        <v>10.08</v>
      </c>
    </row>
    <row r="30" ht="22.5" customHeight="1">
      <c r="A30" s="84" t="s">
        <v>387</v>
      </c>
      <c r="B30" s="86">
        <v>46022.0</v>
      </c>
      <c r="C30" s="30" t="s">
        <v>102</v>
      </c>
      <c r="D30" s="30" t="s">
        <v>138</v>
      </c>
      <c r="E30" s="55" t="s">
        <v>139</v>
      </c>
      <c r="F30" s="67" t="s">
        <v>140</v>
      </c>
      <c r="G30" s="68" t="str">
        <f t="array" ref="G30">_xlfn.XLOOKUP( F30, Investments_Live_Price[Ticker], Investments_Live_Price[Investment Name], "" )</f>
        <v>Vanguard S&amp;P 500 Index ETF</v>
      </c>
      <c r="H30" s="69">
        <v>5.0</v>
      </c>
      <c r="I30" s="52">
        <v>166.619995117187</v>
      </c>
      <c r="J30" s="70">
        <f>IF( Investments[Event]="Buy", -(Investments[Qty] * Investments[Price]), Investments[Qty] * Investments[Price] )</f>
        <v>-833.0999756</v>
      </c>
      <c r="K30" s="70"/>
      <c r="L30" s="72">
        <f t="shared" si="1"/>
        <v>5</v>
      </c>
    </row>
    <row r="31" ht="22.5" customHeight="1">
      <c r="A31" s="84" t="s">
        <v>392</v>
      </c>
      <c r="B31" s="86">
        <v>46022.0</v>
      </c>
      <c r="C31" s="30" t="s">
        <v>121</v>
      </c>
      <c r="D31" s="55" t="s">
        <v>138</v>
      </c>
      <c r="E31" s="55" t="s">
        <v>139</v>
      </c>
      <c r="F31" s="67" t="s">
        <v>154</v>
      </c>
      <c r="G31" s="68" t="str">
        <f t="array" ref="G31">_xlfn.XLOOKUP( F31, Investments_Live_Price[Ticker], Investments_Live_Price[Investment Name], "" )</f>
        <v>Vanguard FTSE Developed All Cap ex North America Index ETF</v>
      </c>
      <c r="H31" s="69">
        <v>9.99</v>
      </c>
      <c r="I31" s="52">
        <v>42.9599990844726</v>
      </c>
      <c r="J31" s="70">
        <f>IF( Investments[Event]="Buy", -(Investments[Qty] * Investments[Price]), Investments[Qty] * Investments[Price] )</f>
        <v>-429.1703909</v>
      </c>
      <c r="K31" s="70"/>
      <c r="L31" s="72">
        <f t="shared" si="1"/>
        <v>9.99</v>
      </c>
    </row>
    <row r="32" ht="22.5" customHeight="1">
      <c r="A32" s="84" t="s">
        <v>395</v>
      </c>
      <c r="B32" s="86">
        <v>46024.0</v>
      </c>
      <c r="C32" s="30" t="s">
        <v>102</v>
      </c>
      <c r="D32" s="30" t="s">
        <v>138</v>
      </c>
      <c r="E32" s="55" t="s">
        <v>139</v>
      </c>
      <c r="F32" s="67" t="s">
        <v>140</v>
      </c>
      <c r="G32" s="68" t="str">
        <f t="array" ref="G32">_xlfn.XLOOKUP( F32, Investments_Live_Price[Ticker], Investments_Live_Price[Investment Name], "" )</f>
        <v>Vanguard S&amp;P 500 Index ETF</v>
      </c>
      <c r="H32" s="69">
        <v>2.98</v>
      </c>
      <c r="I32" s="52">
        <v>167.080001831054</v>
      </c>
      <c r="J32" s="70">
        <f>IF( Investments[Event]="Buy", -(Investments[Qty] * Investments[Price]), Investments[Qty] * Investments[Price] )</f>
        <v>-497.8984055</v>
      </c>
      <c r="K32" s="70"/>
      <c r="L32" s="72">
        <f t="shared" si="1"/>
        <v>2.98</v>
      </c>
    </row>
    <row r="33" ht="22.5" customHeight="1">
      <c r="A33" s="84" t="s">
        <v>400</v>
      </c>
      <c r="B33" s="86">
        <v>46024.0</v>
      </c>
      <c r="C33" s="30" t="s">
        <v>121</v>
      </c>
      <c r="D33" s="55" t="s">
        <v>138</v>
      </c>
      <c r="E33" s="55" t="s">
        <v>139</v>
      </c>
      <c r="F33" s="67" t="s">
        <v>154</v>
      </c>
      <c r="G33" s="68" t="str">
        <f t="array" ref="G33">_xlfn.XLOOKUP( F33, Investments_Live_Price[Ticker], Investments_Live_Price[Investment Name], "" )</f>
        <v>Vanguard FTSE Developed All Cap ex North America Index ETF</v>
      </c>
      <c r="H33" s="69">
        <v>11.41</v>
      </c>
      <c r="I33" s="52">
        <v>43.4700012207031</v>
      </c>
      <c r="J33" s="70">
        <f>IF( Investments[Event]="Buy", -(Investments[Qty] * Investments[Price]), Investments[Qty] * Investments[Price] )</f>
        <v>-495.9927139</v>
      </c>
      <c r="K33" s="70"/>
      <c r="L33" s="72">
        <f t="shared" si="1"/>
        <v>11.41</v>
      </c>
    </row>
    <row r="34" ht="22.5" customHeight="1">
      <c r="A34" s="84" t="s">
        <v>406</v>
      </c>
      <c r="B34" s="86">
        <v>46055.0</v>
      </c>
      <c r="C34" s="30" t="s">
        <v>102</v>
      </c>
      <c r="D34" s="55" t="s">
        <v>138</v>
      </c>
      <c r="E34" s="55" t="s">
        <v>139</v>
      </c>
      <c r="F34" s="67" t="s">
        <v>190</v>
      </c>
      <c r="G34" s="68" t="str">
        <f t="array" ref="G34">_xlfn.XLOOKUP( F34, Investments_Live_Price[Ticker], Investments_Live_Price[Investment Name], "" )</f>
        <v>iShares S&amp;P/TSX SmallCap Index ETF</v>
      </c>
      <c r="H34" s="69">
        <v>59.81</v>
      </c>
      <c r="I34" s="52">
        <v>33.3400001525878</v>
      </c>
      <c r="J34" s="70">
        <f>IF( Investments[Event]="Buy", -(Investments[Qty] * Investments[Price]), Investments[Qty] * Investments[Price] )</f>
        <v>-1994.065409</v>
      </c>
      <c r="K34" s="70"/>
      <c r="L34" s="72">
        <f t="shared" si="1"/>
        <v>59.81</v>
      </c>
    </row>
    <row r="35" ht="22.5" customHeight="1">
      <c r="A35" s="84" t="s">
        <v>412</v>
      </c>
      <c r="B35" s="86">
        <v>46055.0</v>
      </c>
      <c r="C35" s="30" t="s">
        <v>121</v>
      </c>
      <c r="D35" s="55" t="s">
        <v>138</v>
      </c>
      <c r="E35" s="55" t="s">
        <v>139</v>
      </c>
      <c r="F35" s="67" t="s">
        <v>162</v>
      </c>
      <c r="G35" s="68" t="str">
        <f t="array" ref="G35">_xlfn.XLOOKUP( F35, Investments_Live_Price[Ticker], Investments_Live_Price[Investment Name], "" )</f>
        <v>iShares Core S&amp;P/TSX Capped Composite Index ETF</v>
      </c>
      <c r="H35" s="69">
        <v>35.58</v>
      </c>
      <c r="I35" s="52">
        <v>51.4199981689453</v>
      </c>
      <c r="J35" s="70">
        <f>IF( Investments[Event]="Buy", -(Investments[Qty] * Investments[Price]), Investments[Qty] * Investments[Price] )</f>
        <v>-1829.523535</v>
      </c>
      <c r="K35" s="70"/>
      <c r="L35" s="72">
        <f t="shared" si="1"/>
        <v>35.58</v>
      </c>
    </row>
    <row r="36" ht="22.5" customHeight="1">
      <c r="A36" s="84" t="s">
        <v>416</v>
      </c>
      <c r="B36" s="86">
        <v>46065.0</v>
      </c>
      <c r="C36" s="30" t="s">
        <v>102</v>
      </c>
      <c r="D36" s="55" t="s">
        <v>138</v>
      </c>
      <c r="E36" s="55" t="s">
        <v>139</v>
      </c>
      <c r="F36" s="67" t="s">
        <v>140</v>
      </c>
      <c r="G36" s="68" t="str">
        <f t="array" ref="G36">_xlfn.XLOOKUP( F36, Investments_Live_Price[Ticker], Investments_Live_Price[Investment Name], "" )</f>
        <v>Vanguard S&amp;P 500 Index ETF</v>
      </c>
      <c r="H36" s="69">
        <v>3.0</v>
      </c>
      <c r="I36" s="52">
        <v>165.100006103515</v>
      </c>
      <c r="J36" s="70">
        <f>IF( Investments[Event]="Buy", -(Investments[Qty] * Investments[Price]), Investments[Qty] * Investments[Price] )</f>
        <v>-495.3000183</v>
      </c>
      <c r="K36" s="70"/>
      <c r="L36" s="72">
        <f t="shared" si="1"/>
        <v>3</v>
      </c>
    </row>
    <row r="37" ht="22.5" customHeight="1">
      <c r="A37" s="84" t="s">
        <v>420</v>
      </c>
      <c r="B37" s="86">
        <v>46065.0</v>
      </c>
      <c r="C37" s="30" t="s">
        <v>121</v>
      </c>
      <c r="D37" s="55" t="s">
        <v>138</v>
      </c>
      <c r="E37" s="55" t="s">
        <v>139</v>
      </c>
      <c r="F37" s="67" t="s">
        <v>154</v>
      </c>
      <c r="G37" s="68" t="str">
        <f t="array" ref="G37">_xlfn.XLOOKUP( F37, Investments_Live_Price[Ticker], Investments_Live_Price[Investment Name], "" )</f>
        <v>Vanguard FTSE Developed All Cap ex North America Index ETF</v>
      </c>
      <c r="H37" s="69">
        <v>10.74</v>
      </c>
      <c r="I37" s="52">
        <v>47.0499992370605</v>
      </c>
      <c r="J37" s="70">
        <f>IF( Investments[Event]="Buy", -(Investments[Qty] * Investments[Price]), Investments[Qty] * Investments[Price] )</f>
        <v>-505.3169918</v>
      </c>
      <c r="K37" s="70"/>
      <c r="L37" s="72">
        <f t="shared" si="1"/>
        <v>10.74</v>
      </c>
    </row>
    <row r="38" ht="22.5" customHeight="1">
      <c r="A38" s="84" t="s">
        <v>427</v>
      </c>
      <c r="B38" s="86">
        <v>46083.0</v>
      </c>
      <c r="C38" s="30" t="s">
        <v>102</v>
      </c>
      <c r="D38" s="55" t="s">
        <v>138</v>
      </c>
      <c r="E38" s="55" t="s">
        <v>139</v>
      </c>
      <c r="F38" s="67" t="s">
        <v>190</v>
      </c>
      <c r="G38" s="68" t="str">
        <f t="array" ref="G38">_xlfn.XLOOKUP( F38, Investments_Live_Price[Ticker], Investments_Live_Price[Investment Name], "" )</f>
        <v>iShares S&amp;P/TSX SmallCap Index ETF</v>
      </c>
      <c r="H38" s="69">
        <v>6.6</v>
      </c>
      <c r="I38" s="52">
        <v>37.7799987792968</v>
      </c>
      <c r="J38" s="70">
        <f>IF( Investments[Event]="Buy", -(Investments[Qty] * Investments[Price]), Investments[Qty] * Investments[Price] )</f>
        <v>-249.3479919</v>
      </c>
      <c r="K38" s="70"/>
      <c r="L38" s="72">
        <f t="shared" si="1"/>
        <v>6.6</v>
      </c>
    </row>
    <row r="39" ht="22.5" customHeight="1">
      <c r="A39" s="84" t="s">
        <v>431</v>
      </c>
      <c r="B39" s="86">
        <v>46083.0</v>
      </c>
      <c r="C39" s="30" t="s">
        <v>121</v>
      </c>
      <c r="D39" s="55" t="s">
        <v>138</v>
      </c>
      <c r="E39" s="55" t="s">
        <v>139</v>
      </c>
      <c r="F39" s="67" t="s">
        <v>162</v>
      </c>
      <c r="G39" s="68" t="str">
        <f t="array" ref="G39">_xlfn.XLOOKUP( F39, Investments_Live_Price[Ticker], Investments_Live_Price[Investment Name], "" )</f>
        <v>iShares Core S&amp;P/TSX Capped Composite Index ETF</v>
      </c>
      <c r="H39" s="69">
        <v>5.51</v>
      </c>
      <c r="I39" s="52">
        <v>55.25</v>
      </c>
      <c r="J39" s="70">
        <f>IF( Investments[Event]="Buy", -(Investments[Qty] * Investments[Price]), Investments[Qty] * Investments[Price] )</f>
        <v>-304.4275</v>
      </c>
      <c r="K39" s="70"/>
      <c r="L39" s="72">
        <f t="shared" si="1"/>
        <v>5.51</v>
      </c>
    </row>
    <row r="40" ht="22.5" customHeight="1">
      <c r="A40" s="84" t="s">
        <v>434</v>
      </c>
      <c r="B40" s="86">
        <v>46086.0</v>
      </c>
      <c r="C40" s="30" t="s">
        <v>102</v>
      </c>
      <c r="D40" s="55" t="s">
        <v>138</v>
      </c>
      <c r="E40" s="30" t="s">
        <v>139</v>
      </c>
      <c r="F40" s="67" t="s">
        <v>140</v>
      </c>
      <c r="G40" s="68" t="str">
        <f t="array" ref="G40">_xlfn.XLOOKUP( F40, Investments_Live_Price[Ticker], Investments_Live_Price[Investment Name], "" )</f>
        <v>Vanguard S&amp;P 500 Index ETF</v>
      </c>
      <c r="H40" s="69">
        <v>3.0</v>
      </c>
      <c r="I40" s="52">
        <v>165.830001831054</v>
      </c>
      <c r="J40" s="70">
        <f>IF( Investments[Event]="Buy", -(Investments[Qty] * Investments[Price]), Investments[Qty] * Investments[Price] )</f>
        <v>-497.4900055</v>
      </c>
      <c r="K40" s="70"/>
      <c r="L40" s="72">
        <f t="shared" si="1"/>
        <v>3</v>
      </c>
    </row>
    <row r="41" ht="22.5" customHeight="1">
      <c r="A41" s="84" t="s">
        <v>439</v>
      </c>
      <c r="B41" s="86">
        <v>46086.0</v>
      </c>
      <c r="C41" s="30" t="s">
        <v>121</v>
      </c>
      <c r="D41" s="55" t="s">
        <v>138</v>
      </c>
      <c r="E41" s="55" t="s">
        <v>139</v>
      </c>
      <c r="F41" s="67" t="s">
        <v>154</v>
      </c>
      <c r="G41" s="68" t="str">
        <f t="array" ref="G41">_xlfn.XLOOKUP( F41, Investments_Live_Price[Ticker], Investments_Live_Price[Investment Name], "" )</f>
        <v>Vanguard FTSE Developed All Cap ex North America Index ETF</v>
      </c>
      <c r="H41" s="69">
        <v>10.85</v>
      </c>
      <c r="I41" s="52">
        <v>44.9199981689453</v>
      </c>
      <c r="J41" s="70">
        <f>IF( Investments[Event]="Buy", -(Investments[Qty] * Investments[Price]), Investments[Qty] * Investments[Price] )</f>
        <v>-487.3819801</v>
      </c>
      <c r="K41" s="70"/>
      <c r="L41" s="72">
        <f t="shared" si="1"/>
        <v>10.85</v>
      </c>
    </row>
    <row r="42" ht="22.5" customHeight="1">
      <c r="A42" s="84" t="s">
        <v>444</v>
      </c>
      <c r="B42" s="86">
        <v>46121.0</v>
      </c>
      <c r="C42" s="30" t="s">
        <v>102</v>
      </c>
      <c r="D42" s="55" t="s">
        <v>138</v>
      </c>
      <c r="E42" s="55" t="s">
        <v>139</v>
      </c>
      <c r="F42" s="67" t="s">
        <v>140</v>
      </c>
      <c r="G42" s="68" t="str">
        <f t="array" ref="G42">_xlfn.XLOOKUP( F42, Investments_Live_Price[Ticker], Investments_Live_Price[Investment Name], "" )</f>
        <v>Vanguard S&amp;P 500 Index ETF</v>
      </c>
      <c r="H42" s="69">
        <v>2.95</v>
      </c>
      <c r="I42" s="52">
        <v>167.139999389648</v>
      </c>
      <c r="J42" s="70">
        <f>IF( Investments[Event]="Buy", -(Investments[Qty] * Investments[Price]), Investments[Qty] * Investments[Price] )</f>
        <v>-493.0629982</v>
      </c>
      <c r="K42" s="70"/>
      <c r="L42" s="72">
        <f t="shared" si="1"/>
        <v>2.95</v>
      </c>
    </row>
    <row r="43" ht="22.5" customHeight="1">
      <c r="A43" s="84" t="s">
        <v>447</v>
      </c>
      <c r="B43" s="86">
        <v>46121.0</v>
      </c>
      <c r="C43" s="30" t="s">
        <v>121</v>
      </c>
      <c r="D43" s="55" t="s">
        <v>138</v>
      </c>
      <c r="E43" s="55" t="s">
        <v>139</v>
      </c>
      <c r="F43" s="67" t="s">
        <v>154</v>
      </c>
      <c r="G43" s="68" t="str">
        <f t="array" ref="G43">_xlfn.XLOOKUP( F43, Investments_Live_Price[Ticker], Investments_Live_Price[Investment Name], "" )</f>
        <v>Vanguard FTSE Developed All Cap ex North America Index ETF</v>
      </c>
      <c r="H43" s="69">
        <v>10.66</v>
      </c>
      <c r="I43" s="52">
        <v>46.8600006103515</v>
      </c>
      <c r="J43" s="70">
        <f>IF( Investments[Event]="Buy", -(Investments[Qty] * Investments[Price]), Investments[Qty] * Investments[Price] )</f>
        <v>-499.5276065</v>
      </c>
      <c r="K43" s="70"/>
      <c r="L43" s="72">
        <f t="shared" si="1"/>
        <v>10.66</v>
      </c>
    </row>
    <row r="44" ht="22.5" customHeight="1">
      <c r="A44" s="84" t="s">
        <v>453</v>
      </c>
      <c r="B44" s="86">
        <v>46142.0</v>
      </c>
      <c r="C44" s="30" t="s">
        <v>102</v>
      </c>
      <c r="D44" s="55" t="s">
        <v>138</v>
      </c>
      <c r="E44" s="55" t="s">
        <v>139</v>
      </c>
      <c r="F44" s="67" t="s">
        <v>190</v>
      </c>
      <c r="G44" s="68" t="str">
        <f t="array" ref="G44">_xlfn.XLOOKUP( F44, Investments_Live_Price[Ticker], Investments_Live_Price[Investment Name], "" )</f>
        <v>iShares S&amp;P/TSX SmallCap Index ETF</v>
      </c>
      <c r="H44" s="69">
        <v>10.78</v>
      </c>
      <c r="I44" s="52">
        <v>36.2599983215332</v>
      </c>
      <c r="J44" s="70">
        <f>IF( Investments[Event]="Buy", -(Investments[Qty] * Investments[Price]), Investments[Qty] * Investments[Price] )</f>
        <v>-390.8827819</v>
      </c>
      <c r="K44" s="70"/>
      <c r="L44" s="72">
        <f t="shared" si="1"/>
        <v>10.78</v>
      </c>
    </row>
    <row r="45" ht="22.5" customHeight="1">
      <c r="A45" s="84" t="s">
        <v>458</v>
      </c>
      <c r="B45" s="86">
        <v>46142.0</v>
      </c>
      <c r="C45" s="30" t="s">
        <v>121</v>
      </c>
      <c r="D45" s="55" t="s">
        <v>138</v>
      </c>
      <c r="E45" s="55" t="s">
        <v>139</v>
      </c>
      <c r="F45" s="67" t="s">
        <v>162</v>
      </c>
      <c r="G45" s="68" t="str">
        <f t="array" ref="G45">_xlfn.XLOOKUP( F45, Investments_Live_Price[Ticker], Investments_Live_Price[Investment Name], "" )</f>
        <v>iShares Core S&amp;P/TSX Capped Composite Index ETF</v>
      </c>
      <c r="H45" s="69">
        <v>7.35</v>
      </c>
      <c r="I45" s="52">
        <v>54.2400016784668</v>
      </c>
      <c r="J45" s="70">
        <f>IF( Investments[Event]="Buy", -(Investments[Qty] * Investments[Price]), Investments[Qty] * Investments[Price] )</f>
        <v>-398.6640123</v>
      </c>
      <c r="K45" s="70"/>
      <c r="L45" s="72">
        <f t="shared" si="1"/>
        <v>7.35</v>
      </c>
    </row>
    <row r="46" ht="22.5" customHeight="1">
      <c r="A46" s="84" t="s">
        <v>461</v>
      </c>
      <c r="B46" s="86">
        <v>46150.0</v>
      </c>
      <c r="C46" s="30" t="s">
        <v>102</v>
      </c>
      <c r="D46" s="55" t="s">
        <v>138</v>
      </c>
      <c r="E46" s="55" t="s">
        <v>139</v>
      </c>
      <c r="F46" s="67" t="s">
        <v>140</v>
      </c>
      <c r="G46" s="68" t="str">
        <f t="array" ref="G46">_xlfn.XLOOKUP( F46, Investments_Live_Price[Ticker], Investments_Live_Price[Investment Name], "" )</f>
        <v>Vanguard S&amp;P 500 Index ETF</v>
      </c>
      <c r="H46" s="69">
        <v>2.8</v>
      </c>
      <c r="I46" s="52">
        <v>179.419998168945</v>
      </c>
      <c r="J46" s="70">
        <f>IF( Investments[Event]="Buy", -(Investments[Qty] * Investments[Price]), Investments[Qty] * Investments[Price] )</f>
        <v>-502.3759949</v>
      </c>
      <c r="K46" s="70"/>
      <c r="L46" s="72">
        <f t="shared" si="1"/>
        <v>2.8</v>
      </c>
    </row>
    <row r="47" ht="22.5" customHeight="1">
      <c r="A47" s="84" t="s">
        <v>465</v>
      </c>
      <c r="B47" s="86">
        <v>46150.0</v>
      </c>
      <c r="C47" s="30" t="s">
        <v>121</v>
      </c>
      <c r="D47" s="55" t="s">
        <v>138</v>
      </c>
      <c r="E47" s="55" t="s">
        <v>139</v>
      </c>
      <c r="F47" s="67" t="s">
        <v>154</v>
      </c>
      <c r="G47" s="68" t="str">
        <f t="array" ref="G47">_xlfn.XLOOKUP( F47, Investments_Live_Price[Ticker], Investments_Live_Price[Investment Name], "" )</f>
        <v>Vanguard FTSE Developed All Cap ex North America Index ETF</v>
      </c>
      <c r="H47" s="69">
        <v>10.39</v>
      </c>
      <c r="I47" s="52">
        <v>48.6800003051757</v>
      </c>
      <c r="J47" s="70">
        <f>IF( Investments[Event]="Buy", -(Investments[Qty] * Investments[Price]), Investments[Qty] * Investments[Price] )</f>
        <v>-505.7852032</v>
      </c>
      <c r="K47" s="70"/>
      <c r="L47" s="72">
        <f t="shared" si="1"/>
        <v>10.39</v>
      </c>
    </row>
    <row r="48" ht="22.5" customHeight="1">
      <c r="A48" s="84" t="str">
        <f t="shared" ref="A48:A59" si="2">"invtransaction00"&amp;text(ROW(B48)-1, "0")</f>
        <v>invtransaction0047</v>
      </c>
      <c r="B48" s="86">
        <v>46178.0</v>
      </c>
      <c r="C48" s="30" t="s">
        <v>102</v>
      </c>
      <c r="D48" s="55" t="s">
        <v>138</v>
      </c>
      <c r="E48" s="55" t="s">
        <v>139</v>
      </c>
      <c r="F48" s="67" t="s">
        <v>140</v>
      </c>
      <c r="G48" s="68" t="str">
        <f t="array" ref="G48">_xlfn.XLOOKUP( F48, Investments_Live_Price[Ticker], Investments_Live_Price[Investment Name], "" )</f>
        <v>Vanguard S&amp;P 500 Index ETF</v>
      </c>
      <c r="H48" s="69">
        <v>2.73</v>
      </c>
      <c r="I48" s="52">
        <v>182.899993896484</v>
      </c>
      <c r="J48" s="70">
        <f>IF( Investments[Event]="Buy", -(Investments[Qty] * Investments[Price]), Investments[Qty] * Investments[Price] )</f>
        <v>-499.3169833</v>
      </c>
      <c r="K48" s="70"/>
      <c r="L48" s="72">
        <f t="shared" si="1"/>
        <v>2.73</v>
      </c>
    </row>
    <row r="49" ht="22.5" customHeight="1">
      <c r="A49" s="84" t="str">
        <f t="shared" si="2"/>
        <v>invtransaction0048</v>
      </c>
      <c r="B49" s="86">
        <v>46178.0</v>
      </c>
      <c r="C49" s="30" t="s">
        <v>121</v>
      </c>
      <c r="D49" s="55" t="s">
        <v>138</v>
      </c>
      <c r="E49" s="55" t="s">
        <v>139</v>
      </c>
      <c r="F49" s="67" t="s">
        <v>154</v>
      </c>
      <c r="G49" s="68" t="str">
        <f t="array" ref="G49">_xlfn.XLOOKUP( F49, Investments_Live_Price[Ticker], Investments_Live_Price[Investment Name], "" )</f>
        <v>Vanguard FTSE Developed All Cap ex North America Index ETF</v>
      </c>
      <c r="H49" s="69">
        <v>10.31</v>
      </c>
      <c r="I49" s="52">
        <v>48.4099998474121</v>
      </c>
      <c r="J49" s="70">
        <f>IF( Investments[Event]="Buy", -(Investments[Qty] * Investments[Price]), Investments[Qty] * Investments[Price] )</f>
        <v>-499.1070984</v>
      </c>
      <c r="K49" s="70"/>
      <c r="L49" s="72">
        <f t="shared" si="1"/>
        <v>10.31</v>
      </c>
    </row>
    <row r="50" ht="22.5" customHeight="1">
      <c r="A50" s="84" t="str">
        <f t="shared" si="2"/>
        <v>invtransaction0049</v>
      </c>
      <c r="B50" s="86">
        <v>46203.0</v>
      </c>
      <c r="C50" s="30" t="s">
        <v>102</v>
      </c>
      <c r="D50" s="55" t="s">
        <v>138</v>
      </c>
      <c r="E50" s="55" t="s">
        <v>139</v>
      </c>
      <c r="F50" s="67" t="s">
        <v>190</v>
      </c>
      <c r="G50" s="68" t="str">
        <f t="array" ref="G50">_xlfn.XLOOKUP( F50, Investments_Live_Price[Ticker], Investments_Live_Price[Investment Name], "" )</f>
        <v>iShares S&amp;P/TSX SmallCap Index ETF</v>
      </c>
      <c r="H50" s="69">
        <v>8.03</v>
      </c>
      <c r="I50" s="52">
        <v>35.8300018310546</v>
      </c>
      <c r="J50" s="70">
        <f>IF( Investments[Event]="Buy", -(Investments[Qty] * Investments[Price]), Investments[Qty] * Investments[Price] )</f>
        <v>-287.7149147</v>
      </c>
      <c r="K50" s="70"/>
      <c r="L50" s="72">
        <f t="shared" si="1"/>
        <v>8.03</v>
      </c>
    </row>
    <row r="51" ht="22.5" customHeight="1">
      <c r="A51" s="84" t="str">
        <f t="shared" si="2"/>
        <v>invtransaction0050</v>
      </c>
      <c r="B51" s="86">
        <v>46203.0</v>
      </c>
      <c r="C51" s="30" t="s">
        <v>121</v>
      </c>
      <c r="D51" s="55" t="s">
        <v>138</v>
      </c>
      <c r="E51" s="55" t="s">
        <v>139</v>
      </c>
      <c r="F51" s="67" t="s">
        <v>162</v>
      </c>
      <c r="G51" s="68" t="str">
        <f t="array" ref="G51">_xlfn.XLOOKUP( F51, Investments_Live_Price[Ticker], Investments_Live_Price[Investment Name], "" )</f>
        <v>iShares Core S&amp;P/TSX Capped Composite Index ETF</v>
      </c>
      <c r="H51" s="69">
        <v>5.16</v>
      </c>
      <c r="I51" s="52">
        <v>55.599998474121</v>
      </c>
      <c r="J51" s="70">
        <f>IF( Investments[Event]="Buy", -(Investments[Qty] * Investments[Price]), Investments[Qty] * Investments[Price] )</f>
        <v>-286.8959921</v>
      </c>
      <c r="K51" s="70"/>
      <c r="L51" s="72">
        <f t="shared" si="1"/>
        <v>5.16</v>
      </c>
    </row>
    <row r="52" ht="22.5" customHeight="1">
      <c r="A52" s="84" t="str">
        <f t="shared" si="2"/>
        <v>invtransaction0051</v>
      </c>
      <c r="B52" s="86">
        <v>46206.0</v>
      </c>
      <c r="C52" s="30" t="s">
        <v>102</v>
      </c>
      <c r="D52" s="55" t="s">
        <v>138</v>
      </c>
      <c r="E52" s="55" t="s">
        <v>139</v>
      </c>
      <c r="F52" s="67" t="s">
        <v>140</v>
      </c>
      <c r="G52" s="68" t="str">
        <f t="array" ref="G52">_xlfn.XLOOKUP( F52, Investments_Live_Price[Ticker], Investments_Live_Price[Investment Name], "" )</f>
        <v>Vanguard S&amp;P 500 Index ETF</v>
      </c>
      <c r="H52" s="69">
        <v>2.64</v>
      </c>
      <c r="I52" s="52">
        <v>189.009994506835</v>
      </c>
      <c r="J52" s="70">
        <f>IF( Investments[Event]="Buy", -(Investments[Qty] * Investments[Price]), Investments[Qty] * Investments[Price] )</f>
        <v>-498.9863855</v>
      </c>
      <c r="K52" s="70"/>
      <c r="L52" s="72">
        <f t="shared" si="1"/>
        <v>2.64</v>
      </c>
    </row>
    <row r="53" ht="22.5" customHeight="1">
      <c r="A53" s="84" t="str">
        <f t="shared" si="2"/>
        <v>invtransaction0052</v>
      </c>
      <c r="B53" s="86">
        <v>46206.0</v>
      </c>
      <c r="C53" s="30" t="s">
        <v>121</v>
      </c>
      <c r="D53" s="55" t="s">
        <v>138</v>
      </c>
      <c r="E53" s="55" t="s">
        <v>139</v>
      </c>
      <c r="F53" s="67" t="s">
        <v>154</v>
      </c>
      <c r="G53" s="68" t="str">
        <f t="array" ref="G53">_xlfn.XLOOKUP( F53, Investments_Live_Price[Ticker], Investments_Live_Price[Investment Name], "" )</f>
        <v>Vanguard FTSE Developed All Cap ex North America Index ETF</v>
      </c>
      <c r="H53" s="69">
        <v>9.75</v>
      </c>
      <c r="I53" s="52">
        <v>51.1500015258789</v>
      </c>
      <c r="J53" s="70">
        <f>IF( Investments[Event]="Buy", -(Investments[Qty] * Investments[Price]), Investments[Qty] * Investments[Price] )</f>
        <v>-498.7125149</v>
      </c>
      <c r="K53" s="70"/>
      <c r="L53" s="72">
        <f t="shared" si="1"/>
        <v>9.75</v>
      </c>
    </row>
    <row r="54" ht="22.5" customHeight="1">
      <c r="A54" s="84" t="str">
        <f t="shared" si="2"/>
        <v>invtransaction0053</v>
      </c>
      <c r="B54" s="86">
        <v>46248.0</v>
      </c>
      <c r="C54" s="30" t="s">
        <v>102</v>
      </c>
      <c r="D54" s="55" t="s">
        <v>138</v>
      </c>
      <c r="E54" s="55" t="s">
        <v>139</v>
      </c>
      <c r="F54" s="67" t="s">
        <v>140</v>
      </c>
      <c r="G54" s="68" t="str">
        <f t="array" ref="G54">_xlfn.XLOOKUP( F54, Investments_Live_Price[Ticker], Investments_Live_Price[Investment Name], "" )</f>
        <v>Vanguard S&amp;P 500 Index ETF</v>
      </c>
      <c r="H54" s="69">
        <v>2.6</v>
      </c>
      <c r="I54" s="52">
        <v>191.639999389648</v>
      </c>
      <c r="J54" s="70">
        <f>IF( Investments[Event]="Buy", -(Investments[Qty] * Investments[Price]), Investments[Qty] * Investments[Price] )</f>
        <v>-498.2639984</v>
      </c>
      <c r="K54" s="70"/>
      <c r="L54" s="72">
        <f t="shared" si="1"/>
        <v>2.6</v>
      </c>
    </row>
    <row r="55" ht="22.5" customHeight="1">
      <c r="A55" s="84" t="str">
        <f t="shared" si="2"/>
        <v>invtransaction0054</v>
      </c>
      <c r="B55" s="86">
        <v>46248.0</v>
      </c>
      <c r="C55" s="30" t="s">
        <v>121</v>
      </c>
      <c r="D55" s="55" t="s">
        <v>138</v>
      </c>
      <c r="E55" s="55" t="s">
        <v>139</v>
      </c>
      <c r="F55" s="67" t="s">
        <v>154</v>
      </c>
      <c r="G55" s="68" t="str">
        <f t="array" ref="G55">_xlfn.XLOOKUP( F55, Investments_Live_Price[Ticker], Investments_Live_Price[Investment Name], "" )</f>
        <v>Vanguard FTSE Developed All Cap ex North America Index ETF</v>
      </c>
      <c r="H55" s="69">
        <v>9.78</v>
      </c>
      <c r="I55" s="52">
        <v>50.8699989318847</v>
      </c>
      <c r="J55" s="70">
        <f>IF( Investments[Event]="Buy", -(Investments[Qty] * Investments[Price]), Investments[Qty] * Investments[Price] )</f>
        <v>-497.5085896</v>
      </c>
      <c r="K55" s="70"/>
      <c r="L55" s="72">
        <f t="shared" si="1"/>
        <v>9.78</v>
      </c>
    </row>
    <row r="56" ht="22.5" customHeight="1">
      <c r="A56" s="84" t="str">
        <f t="shared" si="2"/>
        <v>invtransaction0055</v>
      </c>
      <c r="B56" s="86">
        <v>46265.0</v>
      </c>
      <c r="C56" s="30" t="s">
        <v>102</v>
      </c>
      <c r="D56" s="55" t="s">
        <v>138</v>
      </c>
      <c r="E56" s="55" t="s">
        <v>139</v>
      </c>
      <c r="F56" s="67" t="s">
        <v>190</v>
      </c>
      <c r="G56" s="68" t="str">
        <f t="array" ref="G56">_xlfn.XLOOKUP( F56, Investments_Live_Price[Ticker], Investments_Live_Price[Investment Name], "" )</f>
        <v>iShares S&amp;P/TSX SmallCap Index ETF</v>
      </c>
      <c r="H56" s="69">
        <v>7.53</v>
      </c>
      <c r="I56" s="52">
        <v>37.25</v>
      </c>
      <c r="J56" s="70">
        <f>IF( Investments[Event]="Buy", -(Investments[Qty] * Investments[Price]), Investments[Qty] * Investments[Price] )</f>
        <v>-280.4925</v>
      </c>
      <c r="K56" s="70"/>
      <c r="L56" s="72">
        <f t="shared" si="1"/>
        <v>7.53</v>
      </c>
    </row>
    <row r="57" ht="22.5" customHeight="1">
      <c r="A57" s="84" t="str">
        <f t="shared" si="2"/>
        <v>invtransaction0056</v>
      </c>
      <c r="B57" s="86">
        <v>46265.0</v>
      </c>
      <c r="C57" s="30" t="s">
        <v>121</v>
      </c>
      <c r="D57" s="55" t="s">
        <v>138</v>
      </c>
      <c r="E57" s="55" t="s">
        <v>139</v>
      </c>
      <c r="F57" s="67" t="s">
        <v>162</v>
      </c>
      <c r="G57" s="68" t="str">
        <f t="array" ref="G57">_xlfn.XLOOKUP( F57, Investments_Live_Price[Ticker], Investments_Live_Price[Investment Name], "" )</f>
        <v>iShares Core S&amp;P/TSX Capped Composite Index ETF</v>
      </c>
      <c r="H57" s="69">
        <v>4.83</v>
      </c>
      <c r="I57" s="52">
        <v>58.0200004577636</v>
      </c>
      <c r="J57" s="70">
        <f>IF( Investments[Event]="Buy", -(Investments[Qty] * Investments[Price]), Investments[Qty] * Investments[Price] )</f>
        <v>-280.2366022</v>
      </c>
      <c r="K57" s="70"/>
      <c r="L57" s="72">
        <f t="shared" si="1"/>
        <v>4.83</v>
      </c>
    </row>
    <row r="58" ht="22.5" customHeight="1">
      <c r="A58" s="84" t="str">
        <f t="shared" si="2"/>
        <v>invtransaction0057</v>
      </c>
      <c r="B58" s="86">
        <v>46276.0</v>
      </c>
      <c r="C58" s="30" t="s">
        <v>102</v>
      </c>
      <c r="D58" s="55" t="s">
        <v>138</v>
      </c>
      <c r="E58" s="55" t="s">
        <v>139</v>
      </c>
      <c r="F58" s="67" t="s">
        <v>140</v>
      </c>
      <c r="G58" s="68" t="str">
        <f t="array" ref="G58">_xlfn.XLOOKUP( F58, Investments_Live_Price[Ticker], Investments_Live_Price[Investment Name], "" )</f>
        <v>Vanguard S&amp;P 500 Index ETF</v>
      </c>
      <c r="H58" s="69">
        <v>2.65</v>
      </c>
      <c r="I58" s="52">
        <v>188.580001831054</v>
      </c>
      <c r="J58" s="70">
        <f>IF( Investments[Event]="Buy", -(Investments[Qty] * Investments[Price]), Investments[Qty] * Investments[Price] )</f>
        <v>-499.7370049</v>
      </c>
      <c r="K58" s="70"/>
      <c r="L58" s="72">
        <f t="shared" si="1"/>
        <v>2.65</v>
      </c>
    </row>
    <row r="59" ht="22.5" customHeight="1">
      <c r="A59" s="84" t="str">
        <f t="shared" si="2"/>
        <v>invtransaction0058</v>
      </c>
      <c r="B59" s="86">
        <v>46276.0</v>
      </c>
      <c r="C59" s="30" t="s">
        <v>121</v>
      </c>
      <c r="D59" s="55" t="s">
        <v>138</v>
      </c>
      <c r="E59" s="55" t="s">
        <v>139</v>
      </c>
      <c r="F59" s="67" t="s">
        <v>154</v>
      </c>
      <c r="G59" s="68" t="str">
        <f t="array" ref="G59">_xlfn.XLOOKUP( F59, Investments_Live_Price[Ticker], Investments_Live_Price[Investment Name], "" )</f>
        <v>Vanguard FTSE Developed All Cap ex North America Index ETF</v>
      </c>
      <c r="H59" s="69">
        <v>9.92</v>
      </c>
      <c r="I59" s="52">
        <v>50.4099998474121</v>
      </c>
      <c r="J59" s="70">
        <f>IF( Investments[Event]="Buy", -(Investments[Qty] * Investments[Price]), Investments[Qty] * Investments[Price] )</f>
        <v>-500.0671985</v>
      </c>
      <c r="K59" s="70"/>
      <c r="L59" s="72">
        <f t="shared" si="1"/>
        <v>9.92</v>
      </c>
    </row>
  </sheetData>
  <dataValidations>
    <dataValidation type="list" allowBlank="1" sqref="D2:D59">
      <formula1>"Stock,ETF,Index Fund,Mutual Fund,GIC,Bond"</formula1>
    </dataValidation>
    <dataValidation type="custom" allowBlank="1" showDropDown="1" sqref="B2:B59">
      <formula1>OR(NOT(ISERROR(DATEVALUE(B2))), AND(ISNUMBER(B2), LEFT(CELL("format", B2))="D"))</formula1>
    </dataValidation>
    <dataValidation type="list" allowBlank="1" sqref="E2:E59">
      <formula1>"Buy,Sell,Dividends"</formula1>
    </dataValidation>
    <dataValidation type="custom" allowBlank="1" showDropDown="1" sqref="H2:K59">
      <formula1>AND(ISNUMBER(H2),(NOT(OR(NOT(ISERROR(DATEVALUE(H2))), AND(ISNUMBER(H2), LEFT(CELL("format", H2))="D")))))</formula1>
    </dataValidation>
    <dataValidation allowBlank="1" showDropDown="1" sqref="F2:G59"/>
    <dataValidation type="list" allowBlank="1" sqref="C2:C59">
      <formula1>#REF!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63"/>
    <col customWidth="1" min="2" max="2" width="10.88"/>
    <col customWidth="1" min="3" max="3" width="26.88"/>
    <col customWidth="1" min="4" max="4" width="16.63"/>
    <col customWidth="1" min="5" max="5" width="22.75"/>
    <col customWidth="1" min="6" max="6" width="17.5"/>
    <col customWidth="1" min="7" max="7" width="12.88"/>
    <col customWidth="1" min="11" max="11" width="12.38"/>
    <col customWidth="1" min="12" max="12" width="10.88"/>
    <col customWidth="1" min="13" max="13" width="18.63"/>
  </cols>
  <sheetData>
    <row r="1" ht="22.5" customHeight="1">
      <c r="A1" s="34" t="s">
        <v>168</v>
      </c>
      <c r="B1" s="34" t="s">
        <v>126</v>
      </c>
      <c r="C1" s="74" t="s">
        <v>128</v>
      </c>
      <c r="D1" s="75" t="s">
        <v>171</v>
      </c>
      <c r="E1" s="76" t="s">
        <v>172</v>
      </c>
      <c r="F1" s="77" t="s">
        <v>174</v>
      </c>
      <c r="G1" s="5"/>
    </row>
    <row r="2" ht="22.5" customHeight="1">
      <c r="A2" s="19" t="s">
        <v>175</v>
      </c>
      <c r="B2" s="19" t="s">
        <v>176</v>
      </c>
      <c r="C2" s="37" t="s">
        <v>177</v>
      </c>
      <c r="D2" s="78">
        <f>IFERROR(__xludf.DUMMYFUNCTION("GOOGLEFINANCE(""TSE:"" &amp; B2, ""price"")"),45.72)</f>
        <v>45.72</v>
      </c>
      <c r="E2" s="79">
        <f>IFERROR(__xludf.DUMMYFUNCTION("GOOGLEFINANCE(""TSE:"" &amp; B2, ""tradetime"")"),46293.66666666667)</f>
        <v>46293.66667</v>
      </c>
      <c r="F2" s="80">
        <f>IFERROR(__xludf.DUMMYFUNCTION("GOOGLEFINANCE(""TSE:"" &amp; B2, ""datadelay"")"),15.0)</f>
        <v>15</v>
      </c>
      <c r="G2" s="5"/>
    </row>
    <row r="3" ht="22.5" customHeight="1">
      <c r="A3" s="37" t="s">
        <v>181</v>
      </c>
      <c r="B3" s="37" t="s">
        <v>182</v>
      </c>
      <c r="C3" s="37" t="s">
        <v>183</v>
      </c>
      <c r="D3" s="78">
        <f>IFERROR(__xludf.DUMMYFUNCTION("GOOGLEFINANCE(""TSE:"" &amp; B3, ""price"")"),62.3)</f>
        <v>62.3</v>
      </c>
      <c r="E3" s="79">
        <f>IFERROR(__xludf.DUMMYFUNCTION("GOOGLEFINANCE(""TSE:"" &amp; B3, ""tradetime"")"),46293.66666666667)</f>
        <v>46293.66667</v>
      </c>
      <c r="F3" s="80">
        <f>IFERROR(__xludf.DUMMYFUNCTION("GOOGLEFINANCE(""TSE:"" &amp; B3, ""datadelay"")"),15.0)</f>
        <v>15</v>
      </c>
      <c r="G3" s="5"/>
    </row>
    <row r="4" ht="22.5" customHeight="1">
      <c r="A4" s="81" t="s">
        <v>187</v>
      </c>
      <c r="B4" s="81" t="s">
        <v>162</v>
      </c>
      <c r="C4" s="37" t="s">
        <v>189</v>
      </c>
      <c r="D4" s="82">
        <f>IFERROR(__xludf.DUMMYFUNCTION("GOOGLEFINANCE(""TSE:"" &amp; B4, ""price"")"),56.61)</f>
        <v>56.61</v>
      </c>
      <c r="E4" s="79">
        <f>IFERROR(__xludf.DUMMYFUNCTION("GOOGLEFINANCE(""TSE:"" &amp; B4, ""tradetime"")"),46293.66666666667)</f>
        <v>46293.66667</v>
      </c>
      <c r="F4" s="80">
        <f>IFERROR(__xludf.DUMMYFUNCTION("GOOGLEFINANCE(""TSE:"" &amp; B4, ""datadelay"")"),15.0)</f>
        <v>15</v>
      </c>
      <c r="G4" s="5"/>
    </row>
    <row r="5" ht="22.5" customHeight="1">
      <c r="A5" s="81" t="s">
        <v>193</v>
      </c>
      <c r="B5" s="81" t="s">
        <v>194</v>
      </c>
      <c r="C5" s="37" t="s">
        <v>195</v>
      </c>
      <c r="D5" s="82">
        <f>IFERROR(__xludf.DUMMYFUNCTION("GOOGLEFINANCE(""TSE:"" &amp; B5, ""price"")"),76.23)</f>
        <v>76.23</v>
      </c>
      <c r="E5" s="79">
        <f>IFERROR(__xludf.DUMMYFUNCTION("GOOGLEFINANCE(""TSE:"" &amp; B5, ""tradetime"")"),46293.66666666667)</f>
        <v>46293.66667</v>
      </c>
      <c r="F5" s="80">
        <f>IFERROR(__xludf.DUMMYFUNCTION("GOOGLEFINANCE(""TSE:"" &amp; B5, ""datadelay"")"),15.0)</f>
        <v>15</v>
      </c>
      <c r="G5" s="11"/>
    </row>
    <row r="6" ht="22.5" customHeight="1">
      <c r="A6" s="81" t="s">
        <v>196</v>
      </c>
      <c r="B6" s="81" t="s">
        <v>198</v>
      </c>
      <c r="C6" s="37" t="s">
        <v>199</v>
      </c>
      <c r="D6" s="82">
        <f>IFERROR(__xludf.DUMMYFUNCTION("GOOGLEFINANCE(""TSE:"" &amp; B6, ""price"")"),59.53)</f>
        <v>59.53</v>
      </c>
      <c r="E6" s="79">
        <f>IFERROR(__xludf.DUMMYFUNCTION("GOOGLEFINANCE(""TSE:"" &amp; B6, ""tradetime"")"),46293.66666666667)</f>
        <v>46293.66667</v>
      </c>
      <c r="F6" s="80">
        <f>IFERROR(__xludf.DUMMYFUNCTION("GOOGLEFINANCE(""TSE:"" &amp; B6, ""datadelay"")"),15.0)</f>
        <v>15</v>
      </c>
      <c r="G6" s="5"/>
    </row>
    <row r="7" ht="22.5" customHeight="1">
      <c r="A7" s="81" t="s">
        <v>202</v>
      </c>
      <c r="B7" s="81" t="s">
        <v>154</v>
      </c>
      <c r="C7" s="37" t="s">
        <v>203</v>
      </c>
      <c r="D7" s="82">
        <f>IFERROR(__xludf.DUMMYFUNCTION("GOOGLEFINANCE(""TSE:"" &amp; B7, ""price"")"),50.49)</f>
        <v>50.49</v>
      </c>
      <c r="E7" s="79">
        <f>IFERROR(__xludf.DUMMYFUNCTION("GOOGLEFINANCE(""TSE:"" &amp; B7, ""tradetime"")"),46293.66666666667)</f>
        <v>46293.66667</v>
      </c>
      <c r="F7" s="80">
        <f>IFERROR(__xludf.DUMMYFUNCTION("GOOGLEFINANCE(""TSE:"" &amp; B7, ""datadelay"")"),15.0)</f>
        <v>15</v>
      </c>
      <c r="G7" s="83"/>
    </row>
    <row r="8" ht="22.5" customHeight="1">
      <c r="A8" s="81" t="s">
        <v>207</v>
      </c>
      <c r="B8" s="81" t="s">
        <v>140</v>
      </c>
      <c r="C8" s="37" t="s">
        <v>208</v>
      </c>
      <c r="D8" s="82">
        <f>IFERROR(__xludf.DUMMYFUNCTION("GOOGLEFINANCE(""TSE:"" &amp; B8, ""price"")"),193.04)</f>
        <v>193.04</v>
      </c>
      <c r="E8" s="79">
        <f>IFERROR(__xludf.DUMMYFUNCTION("GOOGLEFINANCE(""TSE:"" &amp; B8, ""tradetime"")"),46293.66666666667)</f>
        <v>46293.66667</v>
      </c>
      <c r="F8" s="80">
        <f>IFERROR(__xludf.DUMMYFUNCTION("GOOGLEFINANCE(""TSE:"" &amp; B8, ""datadelay"")"),15.0)</f>
        <v>15</v>
      </c>
      <c r="G8" s="11"/>
    </row>
    <row r="9" ht="22.5" customHeight="1">
      <c r="A9" s="81" t="s">
        <v>210</v>
      </c>
      <c r="B9" s="81" t="s">
        <v>211</v>
      </c>
      <c r="C9" s="37" t="s">
        <v>212</v>
      </c>
      <c r="D9" s="82">
        <f>IFERROR(__xludf.DUMMYFUNCTION("GOOGLEFINANCE(""TSE:"" &amp; B9, ""price"")"),47.82)</f>
        <v>47.82</v>
      </c>
      <c r="E9" s="79">
        <f>IFERROR(__xludf.DUMMYFUNCTION("GOOGLEFINANCE(""TSE:"" &amp; B9, ""tradetime"")"),46293.66666666667)</f>
        <v>46293.66667</v>
      </c>
      <c r="F9" s="80">
        <f>IFERROR(__xludf.DUMMYFUNCTION("GOOGLEFINANCE(""TSE:"" &amp; B9, ""datadelay"")"),15.0)</f>
        <v>15</v>
      </c>
      <c r="G9" s="11"/>
    </row>
    <row r="10" ht="22.5" customHeight="1">
      <c r="A10" s="81" t="s">
        <v>215</v>
      </c>
      <c r="B10" s="81" t="s">
        <v>216</v>
      </c>
      <c r="C10" s="81" t="s">
        <v>217</v>
      </c>
      <c r="D10" s="82">
        <f>IFERROR(__xludf.DUMMYFUNCTION("GOOGLEFINANCE(""TSE:"" &amp; B10, ""price"")"),79.43)</f>
        <v>79.43</v>
      </c>
      <c r="E10" s="79">
        <f>IFERROR(__xludf.DUMMYFUNCTION("GOOGLEFINANCE(""TSE:"" &amp; B10, ""tradetime"")"),46293.66666666667)</f>
        <v>46293.66667</v>
      </c>
      <c r="F10" s="85">
        <f>IFERROR(__xludf.DUMMYFUNCTION("GOOGLEFINANCE(""TSE:"" &amp; B10, ""datadelay"")"),15.0)</f>
        <v>15</v>
      </c>
      <c r="G10" s="87"/>
    </row>
    <row r="11" ht="22.5" customHeight="1">
      <c r="A11" s="81" t="s">
        <v>220</v>
      </c>
      <c r="B11" s="81" t="s">
        <v>222</v>
      </c>
      <c r="C11" s="81" t="s">
        <v>223</v>
      </c>
      <c r="D11" s="82">
        <f>IFERROR(__xludf.DUMMYFUNCTION("GOOGLEFINANCE(""TSE:"" &amp; B11, ""price"")"),38.67)</f>
        <v>38.67</v>
      </c>
      <c r="E11" s="79">
        <f>IFERROR(__xludf.DUMMYFUNCTION("GOOGLEFINANCE(""TSE:"" &amp; B11, ""tradetime"")"),46293.66666666667)</f>
        <v>46293.66667</v>
      </c>
      <c r="F11" s="85">
        <f>IFERROR(__xludf.DUMMYFUNCTION("GOOGLEFINANCE(""TSE:"" &amp; B11, ""datadelay"")"),15.0)</f>
        <v>15</v>
      </c>
      <c r="G11" s="87"/>
    </row>
    <row r="12" ht="22.5" customHeight="1">
      <c r="A12" s="81" t="s">
        <v>225</v>
      </c>
      <c r="B12" s="81" t="s">
        <v>226</v>
      </c>
      <c r="C12" s="81" t="s">
        <v>227</v>
      </c>
      <c r="D12" s="82">
        <f>IFERROR(__xludf.DUMMYFUNCTION("GOOGLEFINANCE(""TSE:"" &amp; B12, ""price"")"),72.06)</f>
        <v>72.06</v>
      </c>
      <c r="E12" s="79">
        <f>IFERROR(__xludf.DUMMYFUNCTION("GOOGLEFINANCE(""TSE:"" &amp; B12, ""tradetime"")"),46293.66666666667)</f>
        <v>46293.66667</v>
      </c>
      <c r="F12" s="85">
        <f>IFERROR(__xludf.DUMMYFUNCTION("GOOGLEFINANCE(""TSE:"" &amp; B12, ""datadelay"")"),15.0)</f>
        <v>15</v>
      </c>
    </row>
    <row r="13" ht="22.5" customHeight="1">
      <c r="A13" s="81" t="s">
        <v>230</v>
      </c>
      <c r="B13" s="81" t="s">
        <v>231</v>
      </c>
      <c r="C13" s="81" t="s">
        <v>232</v>
      </c>
      <c r="D13" s="82">
        <f>IFERROR(__xludf.DUMMYFUNCTION("GOOGLEFINANCE(""TSE:"" &amp; B13, ""price"")"),45.67)</f>
        <v>45.67</v>
      </c>
      <c r="E13" s="79">
        <f>IFERROR(__xludf.DUMMYFUNCTION("GOOGLEFINANCE(""TSE:"" &amp; B13, ""tradetime"")"),46293.66666666667)</f>
        <v>46293.66667</v>
      </c>
      <c r="F13" s="85">
        <f>IFERROR(__xludf.DUMMYFUNCTION("GOOGLEFINANCE(""TSE:"" &amp; B13, ""datadelay"")"),15.0)</f>
        <v>15</v>
      </c>
    </row>
    <row r="14" ht="22.5" customHeight="1">
      <c r="A14" s="40" t="s">
        <v>235</v>
      </c>
      <c r="B14" s="40" t="s">
        <v>236</v>
      </c>
      <c r="C14" s="81" t="str">
        <f>IFERROR(__xludf.DUMMYFUNCTION("GOOGLEFINANCE(""TSE:"" &amp; B14, ""name"")"),"Royal Bank of Canada")</f>
        <v>Royal Bank of Canada</v>
      </c>
      <c r="D14" s="82">
        <f>IFERROR(__xludf.DUMMYFUNCTION("GOOGLEFINANCE(""TSE:"" &amp; B14, ""price"")"),285.07)</f>
        <v>285.07</v>
      </c>
      <c r="E14" s="79">
        <f>IFERROR(__xludf.DUMMYFUNCTION("GOOGLEFINANCE(""TSE:"" &amp; B14, ""tradetime"")"),46293.66666666667)</f>
        <v>46293.66667</v>
      </c>
      <c r="F14" s="85">
        <f>IFERROR(__xludf.DUMMYFUNCTION("GOOGLEFINANCE(""TSE:"" &amp; B14, ""datadelay"")"),15.0)</f>
        <v>15</v>
      </c>
      <c r="G14" s="11"/>
    </row>
    <row r="15" ht="22.5" customHeight="1">
      <c r="A15" s="40" t="s">
        <v>239</v>
      </c>
      <c r="B15" s="40" t="s">
        <v>240</v>
      </c>
      <c r="C15" s="81" t="str">
        <f>IFERROR(__xludf.DUMMYFUNCTION("GOOGLEFINANCE(""TSE:"" &amp; B15, ""name"")"),"Fortis Inc")</f>
        <v>Fortis Inc</v>
      </c>
      <c r="D15" s="82">
        <f>IFERROR(__xludf.DUMMYFUNCTION("GOOGLEFINANCE(""TSE:"" &amp; B15, ""price"")"),75.24)</f>
        <v>75.24</v>
      </c>
      <c r="E15" s="79">
        <f>IFERROR(__xludf.DUMMYFUNCTION("GOOGLEFINANCE(""TSE:"" &amp; B15, ""tradetime"")"),46293.66666666667)</f>
        <v>46293.66667</v>
      </c>
      <c r="F15" s="85">
        <f>IFERROR(__xludf.DUMMYFUNCTION("GOOGLEFINANCE(""TSE:"" &amp; B15, ""datadelay"")"),15.0)</f>
        <v>15</v>
      </c>
      <c r="G15" s="11"/>
    </row>
    <row r="16" ht="22.5" customHeight="1">
      <c r="A16" s="40" t="s">
        <v>244</v>
      </c>
      <c r="B16" s="81" t="s">
        <v>178</v>
      </c>
      <c r="C16" s="81" t="str">
        <f>IFERROR(__xludf.DUMMYFUNCTION("GOOGLEFINANCE(""TSE:"" &amp; B16, ""name"")"),"iShares S&amp;P/TSX Capped REIT Index ETF")</f>
        <v>iShares S&amp;P/TSX Capped REIT Index ETF</v>
      </c>
      <c r="D16" s="82">
        <f>IFERROR(__xludf.DUMMYFUNCTION("GOOGLEFINANCE(""TSE:"" &amp; B16, ""price"")"),15.58)</f>
        <v>15.58</v>
      </c>
      <c r="E16" s="79">
        <f>IFERROR(__xludf.DUMMYFUNCTION("GOOGLEFINANCE(""TSE:"" &amp; B16, ""tradetime"")"),46293.66666666667)</f>
        <v>46293.66667</v>
      </c>
      <c r="F16" s="85">
        <f>IFERROR(__xludf.DUMMYFUNCTION("GOOGLEFINANCE(""TSE:"" &amp; B16, ""datadelay"")"),15.0)</f>
        <v>15</v>
      </c>
      <c r="G16" s="11"/>
    </row>
    <row r="17" ht="22.5" customHeight="1">
      <c r="A17" s="40" t="s">
        <v>247</v>
      </c>
      <c r="B17" s="81" t="s">
        <v>190</v>
      </c>
      <c r="C17" s="81" t="str">
        <f>IFERROR(__xludf.DUMMYFUNCTION("GOOGLEFINANCE(""TSE:"" &amp; B17, ""name"")"),"iShares S&amp;P/TSX SmallCap Index ETF")</f>
        <v>iShares S&amp;P/TSX SmallCap Index ETF</v>
      </c>
      <c r="D17" s="82">
        <f>IFERROR(__xludf.DUMMYFUNCTION("GOOGLEFINANCE(""TSE:"" &amp; B17, ""price"")"),36.48)</f>
        <v>36.48</v>
      </c>
      <c r="E17" s="79">
        <f>IFERROR(__xludf.DUMMYFUNCTION("GOOGLEFINANCE(""TSE:"" &amp; B17, ""tradetime"")"),46293.66666666667)</f>
        <v>46293.66667</v>
      </c>
      <c r="F17" s="85">
        <f>IFERROR(__xludf.DUMMYFUNCTION("GOOGLEFINANCE(""TSE:"" &amp; B17, ""datadelay"")"),15.0)</f>
        <v>15</v>
      </c>
      <c r="G17" s="11"/>
    </row>
  </sheetData>
  <dataValidations>
    <dataValidation type="custom" allowBlank="1" showDropDown="1" sqref="E2:E17">
      <formula1>OR(NOT(ISERROR(DATEVALUE(E2))), AND(ISNUMBER(E2), LEFT(CELL("format", E2))="D"))</formula1>
    </dataValidation>
    <dataValidation type="custom" allowBlank="1" showDropDown="1" sqref="D2:D17 F2:F17">
      <formula1>AND(ISNUMBER(D2),(NOT(OR(NOT(ISERROR(DATEVALUE(D2))), AND(ISNUMBER(D2), LEFT(CELL("format", D2))="D")))))</formula1>
    </dataValidation>
    <dataValidation allowBlank="1" showDropDown="1" sqref="B2:C17"/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5"/>
    <col customWidth="1" min="2" max="2" width="20.13"/>
    <col customWidth="1" min="3" max="3" width="25.63"/>
  </cols>
  <sheetData>
    <row r="1" ht="22.5" customHeight="1">
      <c r="A1" s="10" t="s">
        <v>259</v>
      </c>
      <c r="B1" s="10" t="s">
        <v>260</v>
      </c>
      <c r="C1" s="10" t="s">
        <v>261</v>
      </c>
    </row>
    <row r="2" ht="22.5" customHeight="1">
      <c r="A2" s="88">
        <v>32.0</v>
      </c>
      <c r="B2" s="88">
        <v>65.0</v>
      </c>
      <c r="C2" s="89">
        <v>0.07</v>
      </c>
    </row>
  </sheetData>
  <dataValidations>
    <dataValidation type="custom" allowBlank="1" showDropDown="1" sqref="A2:C2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0"/>
    <col customWidth="1" min="14" max="15" width="13.75"/>
    <col customWidth="1" min="16" max="16" width="15.5"/>
    <col customWidth="1" min="18" max="18" width="20.25"/>
    <col customWidth="1" min="19" max="19" width="18.63"/>
  </cols>
  <sheetData>
    <row r="1">
      <c r="A1" s="90" t="s">
        <v>264</v>
      </c>
      <c r="B1" s="91" t="s">
        <v>265</v>
      </c>
      <c r="C1" s="92" t="s">
        <v>3</v>
      </c>
      <c r="D1" s="93" t="str">
        <f t="array" ref="D1:ALN1">TRANSPOSE(C2:C1000)</f>
        <v>Income</v>
      </c>
      <c r="E1" s="33" t="s">
        <v>11</v>
      </c>
      <c r="F1" s="33" t="s">
        <v>17</v>
      </c>
      <c r="G1" s="33" t="s">
        <v>268</v>
      </c>
      <c r="H1" s="33" t="s">
        <v>22</v>
      </c>
      <c r="I1" s="33" t="s">
        <v>35</v>
      </c>
      <c r="J1" s="33" t="s">
        <v>44</v>
      </c>
      <c r="K1" s="33" t="s">
        <v>51</v>
      </c>
      <c r="L1" s="33" t="s">
        <v>61</v>
      </c>
      <c r="M1" s="33" t="s">
        <v>103</v>
      </c>
      <c r="N1" s="33"/>
      <c r="O1" s="33"/>
      <c r="P1" s="33"/>
      <c r="Q1" s="33"/>
      <c r="R1" s="33"/>
      <c r="S1" s="33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</row>
    <row r="2">
      <c r="A2" s="92">
        <v>2026.0</v>
      </c>
      <c r="B2" s="94">
        <v>46023.0</v>
      </c>
      <c r="C2" s="15" t="s">
        <v>6</v>
      </c>
      <c r="D2" s="93" t="s">
        <v>70</v>
      </c>
      <c r="E2" s="93" t="s">
        <v>8</v>
      </c>
      <c r="F2" s="93" t="s">
        <v>152</v>
      </c>
      <c r="G2" s="93" t="s">
        <v>152</v>
      </c>
      <c r="H2" s="91" t="s">
        <v>270</v>
      </c>
      <c r="I2" s="93" t="s">
        <v>42</v>
      </c>
      <c r="J2" s="93" t="s">
        <v>271</v>
      </c>
      <c r="K2" s="93" t="s">
        <v>271</v>
      </c>
      <c r="L2" s="95" t="s">
        <v>272</v>
      </c>
      <c r="M2" s="93" t="s">
        <v>105</v>
      </c>
      <c r="O2" s="33" t="str">
        <f>IFERROR(__xludf.DUMMYFUNCTION("{""Type"", ""Category""; QUERY( ARRAYFORMULA( split( FLATTEN( D1:M1 &amp; ""*"" &amp; D2:M15 ), ""*"" ) ), ""where Col2 is not null order by Col1 asc, Col2 asc"" )}"),"Type")</f>
        <v>Type</v>
      </c>
      <c r="P2" s="33" t="str">
        <f>IFERROR(__xludf.DUMMYFUNCTION("""COMPUTED_VALUE"""),"Category")</f>
        <v>Category</v>
      </c>
      <c r="Q2" s="93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</row>
    <row r="3">
      <c r="A3" s="15">
        <v>2027.0</v>
      </c>
      <c r="B3" s="94">
        <v>46054.0</v>
      </c>
      <c r="C3" s="91" t="s">
        <v>11</v>
      </c>
      <c r="D3" s="93" t="s">
        <v>275</v>
      </c>
      <c r="E3" s="93" t="s">
        <v>42</v>
      </c>
      <c r="F3" s="15" t="s">
        <v>136</v>
      </c>
      <c r="G3" s="95" t="s">
        <v>276</v>
      </c>
      <c r="H3" s="95" t="s">
        <v>92</v>
      </c>
      <c r="I3" s="93" t="s">
        <v>251</v>
      </c>
      <c r="J3" s="93" t="s">
        <v>277</v>
      </c>
      <c r="K3" s="93" t="s">
        <v>277</v>
      </c>
      <c r="L3" s="95" t="s">
        <v>278</v>
      </c>
      <c r="M3" s="93" t="s">
        <v>279</v>
      </c>
      <c r="O3" s="33" t="str">
        <f>IFERROR(__xludf.DUMMYFUNCTION("""COMPUTED_VALUE"""),"Fixed Costs")</f>
        <v>Fixed Costs</v>
      </c>
      <c r="P3" s="93" t="str">
        <f>IFERROR(__xludf.DUMMYFUNCTION("""COMPUTED_VALUE"""),"Debt")</f>
        <v>Debt</v>
      </c>
      <c r="Q3" s="93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</row>
    <row r="4">
      <c r="A4" s="28"/>
      <c r="B4" s="94">
        <v>46082.0</v>
      </c>
      <c r="C4" s="91" t="s">
        <v>17</v>
      </c>
      <c r="D4" s="93" t="s">
        <v>280</v>
      </c>
      <c r="E4" s="93" t="s">
        <v>48</v>
      </c>
      <c r="F4" s="95" t="s">
        <v>276</v>
      </c>
      <c r="G4" s="95" t="s">
        <v>281</v>
      </c>
      <c r="H4" s="95" t="s">
        <v>282</v>
      </c>
      <c r="I4" s="93" t="s">
        <v>48</v>
      </c>
      <c r="J4" s="93" t="s">
        <v>283</v>
      </c>
      <c r="K4" s="15" t="s">
        <v>66</v>
      </c>
      <c r="L4" s="95" t="s">
        <v>271</v>
      </c>
      <c r="M4" s="93"/>
      <c r="O4" s="33" t="str">
        <f>IFERROR(__xludf.DUMMYFUNCTION("""COMPUTED_VALUE"""),"Fixed Costs")</f>
        <v>Fixed Costs</v>
      </c>
      <c r="P4" s="93" t="str">
        <f>IFERROR(__xludf.DUMMYFUNCTION("""COMPUTED_VALUE"""),"Groceries")</f>
        <v>Groceries</v>
      </c>
      <c r="Q4" s="93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</row>
    <row r="5">
      <c r="A5" s="28"/>
      <c r="B5" s="94">
        <v>46113.0</v>
      </c>
      <c r="C5" s="15" t="s">
        <v>268</v>
      </c>
      <c r="D5" s="95" t="s">
        <v>285</v>
      </c>
      <c r="E5" s="93" t="s">
        <v>62</v>
      </c>
      <c r="F5" s="95" t="s">
        <v>281</v>
      </c>
      <c r="G5" s="15" t="s">
        <v>286</v>
      </c>
      <c r="I5" s="93" t="s">
        <v>287</v>
      </c>
      <c r="J5" s="93" t="s">
        <v>288</v>
      </c>
      <c r="K5" s="95" t="s">
        <v>289</v>
      </c>
      <c r="L5" s="95" t="s">
        <v>290</v>
      </c>
      <c r="M5" s="93"/>
      <c r="O5" s="33" t="str">
        <f>IFERROR(__xludf.DUMMYFUNCTION("""COMPUTED_VALUE"""),"Fixed Costs")</f>
        <v>Fixed Costs</v>
      </c>
      <c r="P5" s="93" t="str">
        <f>IFERROR(__xludf.DUMMYFUNCTION("""COMPUTED_VALUE"""),"Healthcare")</f>
        <v>Healthcare</v>
      </c>
      <c r="Q5" s="93"/>
      <c r="R5" s="93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</row>
    <row r="6">
      <c r="A6" s="28"/>
      <c r="B6" s="94">
        <v>46143.0</v>
      </c>
      <c r="C6" s="91" t="s">
        <v>22</v>
      </c>
      <c r="D6" s="95" t="s">
        <v>292</v>
      </c>
      <c r="E6" s="93" t="s">
        <v>66</v>
      </c>
      <c r="F6" s="15" t="s">
        <v>286</v>
      </c>
      <c r="G6" s="95" t="s">
        <v>293</v>
      </c>
      <c r="H6" s="93"/>
      <c r="I6" s="93" t="s">
        <v>62</v>
      </c>
      <c r="J6" s="93" t="s">
        <v>294</v>
      </c>
      <c r="K6" s="95" t="s">
        <v>283</v>
      </c>
      <c r="L6" s="95" t="s">
        <v>295</v>
      </c>
      <c r="M6" s="93"/>
      <c r="O6" s="33" t="str">
        <f>IFERROR(__xludf.DUMMYFUNCTION("""COMPUTED_VALUE"""),"Fixed Costs")</f>
        <v>Fixed Costs</v>
      </c>
      <c r="P6" s="95" t="str">
        <f>IFERROR(__xludf.DUMMYFUNCTION("""COMPUTED_VALUE"""),"Household Items")</f>
        <v>Household Items</v>
      </c>
      <c r="Q6" s="93"/>
      <c r="R6" s="93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</row>
    <row r="7">
      <c r="A7" s="28"/>
      <c r="B7" s="94">
        <v>46174.0</v>
      </c>
      <c r="C7" s="91" t="s">
        <v>35</v>
      </c>
      <c r="D7" s="93"/>
      <c r="E7" s="93" t="s">
        <v>57</v>
      </c>
      <c r="F7" s="95" t="s">
        <v>293</v>
      </c>
      <c r="G7" s="95" t="s">
        <v>297</v>
      </c>
      <c r="H7" s="93"/>
      <c r="I7" s="93" t="s">
        <v>283</v>
      </c>
      <c r="J7" s="15" t="s">
        <v>66</v>
      </c>
      <c r="K7" s="95"/>
      <c r="L7" s="95" t="s">
        <v>298</v>
      </c>
      <c r="M7" s="93"/>
      <c r="O7" s="33" t="str">
        <f>IFERROR(__xludf.DUMMYFUNCTION("""COMPUTED_VALUE"""),"Fixed Costs")</f>
        <v>Fixed Costs</v>
      </c>
      <c r="P7" s="95" t="str">
        <f>IFERROR(__xludf.DUMMYFUNCTION("""COMPUTED_VALUE"""),"Housing")</f>
        <v>Housing</v>
      </c>
      <c r="Q7" s="93"/>
      <c r="R7" s="93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</row>
    <row r="8">
      <c r="A8" s="28"/>
      <c r="B8" s="94">
        <v>46204.0</v>
      </c>
      <c r="C8" s="91" t="s">
        <v>44</v>
      </c>
      <c r="D8" s="93"/>
      <c r="E8" s="93" t="s">
        <v>299</v>
      </c>
      <c r="F8" s="95" t="s">
        <v>297</v>
      </c>
      <c r="H8" s="93"/>
      <c r="I8" s="93" t="s">
        <v>294</v>
      </c>
      <c r="M8" s="93"/>
      <c r="N8" s="91"/>
      <c r="O8" s="91" t="str">
        <f>IFERROR(__xludf.DUMMYFUNCTION("""COMPUTED_VALUE"""),"Fixed Costs")</f>
        <v>Fixed Costs</v>
      </c>
      <c r="P8" s="93" t="str">
        <f>IFERROR(__xludf.DUMMYFUNCTION("""COMPUTED_VALUE"""),"Miscellaneous")</f>
        <v>Miscellaneous</v>
      </c>
      <c r="Q8" s="93"/>
      <c r="R8" s="93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</row>
    <row r="9">
      <c r="A9" s="28"/>
      <c r="B9" s="94">
        <v>46235.0</v>
      </c>
      <c r="C9" s="91" t="s">
        <v>51</v>
      </c>
      <c r="D9" s="93"/>
      <c r="E9" s="93" t="s">
        <v>73</v>
      </c>
      <c r="F9" s="93"/>
      <c r="H9" s="93"/>
      <c r="I9" s="93" t="s">
        <v>288</v>
      </c>
      <c r="K9" s="93"/>
      <c r="L9" s="93"/>
      <c r="M9" s="93"/>
      <c r="N9" s="91"/>
      <c r="O9" s="91" t="str">
        <f>IFERROR(__xludf.DUMMYFUNCTION("""COMPUTED_VALUE"""),"Fixed Costs")</f>
        <v>Fixed Costs</v>
      </c>
      <c r="P9" s="93" t="str">
        <f>IFERROR(__xludf.DUMMYFUNCTION("""COMPUTED_VALUE"""),"Pet")</f>
        <v>Pet</v>
      </c>
      <c r="Q9" s="93"/>
      <c r="R9" s="93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</row>
    <row r="10">
      <c r="A10" s="28"/>
      <c r="B10" s="94">
        <v>46266.0</v>
      </c>
      <c r="C10" s="91" t="s">
        <v>61</v>
      </c>
      <c r="D10" s="93"/>
      <c r="F10" s="93"/>
      <c r="H10" s="93"/>
      <c r="I10" s="93" t="s">
        <v>277</v>
      </c>
      <c r="K10" s="93"/>
      <c r="L10" s="93"/>
      <c r="M10" s="93"/>
      <c r="N10" s="91"/>
      <c r="O10" s="91" t="str">
        <f>IFERROR(__xludf.DUMMYFUNCTION("""COMPUTED_VALUE"""),"Fixed Costs")</f>
        <v>Fixed Costs</v>
      </c>
      <c r="P10" s="93" t="str">
        <f>IFERROR(__xludf.DUMMYFUNCTION("""COMPUTED_VALUE"""),"Transportation")</f>
        <v>Transportation</v>
      </c>
      <c r="Q10" s="93"/>
      <c r="R10" s="93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</row>
    <row r="11">
      <c r="A11" s="28"/>
      <c r="B11" s="94">
        <v>46296.0</v>
      </c>
      <c r="C11" s="92" t="s">
        <v>103</v>
      </c>
      <c r="D11" s="93"/>
      <c r="F11" s="93"/>
      <c r="H11" s="93"/>
      <c r="I11" s="15" t="s">
        <v>66</v>
      </c>
      <c r="K11" s="93"/>
      <c r="L11" s="93"/>
      <c r="M11" s="93"/>
      <c r="N11" s="91"/>
      <c r="O11" s="91" t="str">
        <f>IFERROR(__xludf.DUMMYFUNCTION("""COMPUTED_VALUE"""),"Guilt-Free Family")</f>
        <v>Guilt-Free Family</v>
      </c>
      <c r="P11" s="93" t="str">
        <f>IFERROR(__xludf.DUMMYFUNCTION("""COMPUTED_VALUE"""),"Dining Out")</f>
        <v>Dining Out</v>
      </c>
      <c r="Q11" s="93"/>
      <c r="R11" s="93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</row>
    <row r="12">
      <c r="A12" s="28"/>
      <c r="B12" s="94">
        <v>46327.0</v>
      </c>
      <c r="D12" s="93"/>
      <c r="F12" s="93"/>
      <c r="G12" s="93"/>
      <c r="H12" s="93"/>
      <c r="I12" s="15" t="s">
        <v>303</v>
      </c>
      <c r="J12" s="93"/>
      <c r="K12" s="93"/>
      <c r="L12" s="93"/>
      <c r="M12" s="93"/>
      <c r="N12" s="91"/>
      <c r="O12" s="91" t="str">
        <f>IFERROR(__xludf.DUMMYFUNCTION("""COMPUTED_VALUE"""),"Guilt-Free Family")</f>
        <v>Guilt-Free Family</v>
      </c>
      <c r="P12" s="93" t="str">
        <f>IFERROR(__xludf.DUMMYFUNCTION("""COMPUTED_VALUE"""),"Entertainment")</f>
        <v>Entertainment</v>
      </c>
      <c r="Q12" s="93"/>
      <c r="R12" s="93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</row>
    <row r="13">
      <c r="A13" s="28"/>
      <c r="B13" s="94">
        <v>46357.0</v>
      </c>
      <c r="C13" s="28"/>
      <c r="D13" s="93"/>
      <c r="E13" s="93"/>
      <c r="F13" s="93"/>
      <c r="G13" s="93"/>
      <c r="H13" s="93"/>
      <c r="J13" s="93"/>
      <c r="K13" s="93"/>
      <c r="L13" s="93"/>
      <c r="M13" s="93"/>
      <c r="N13" s="91"/>
      <c r="O13" s="91" t="str">
        <f>IFERROR(__xludf.DUMMYFUNCTION("""COMPUTED_VALUE"""),"Guilt-Free Family")</f>
        <v>Guilt-Free Family</v>
      </c>
      <c r="P13" s="93" t="str">
        <f>IFERROR(__xludf.DUMMYFUNCTION("""COMPUTED_VALUE"""),"Gaming")</f>
        <v>Gaming</v>
      </c>
      <c r="Q13" s="93"/>
      <c r="R13" s="93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</row>
    <row r="14">
      <c r="A14" s="28"/>
      <c r="B14" s="28"/>
      <c r="C14" s="28"/>
      <c r="D14" s="93"/>
      <c r="E14" s="93"/>
      <c r="F14" s="93"/>
      <c r="G14" s="93"/>
      <c r="H14" s="93"/>
      <c r="J14" s="93"/>
      <c r="K14" s="93"/>
      <c r="L14" s="93"/>
      <c r="M14" s="93"/>
      <c r="N14" s="91"/>
      <c r="O14" s="91" t="str">
        <f>IFERROR(__xludf.DUMMYFUNCTION("""COMPUTED_VALUE"""),"Guilt-Free Family")</f>
        <v>Guilt-Free Family</v>
      </c>
      <c r="P14" s="93" t="str">
        <f>IFERROR(__xludf.DUMMYFUNCTION("""COMPUTED_VALUE"""),"Gifts")</f>
        <v>Gifts</v>
      </c>
      <c r="Q14" s="93"/>
      <c r="R14" s="93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</row>
    <row r="15">
      <c r="A15" s="93"/>
      <c r="C15" s="93"/>
      <c r="D15" s="93"/>
      <c r="E15" s="93"/>
      <c r="F15" s="93"/>
      <c r="G15" s="93"/>
      <c r="H15" s="93"/>
      <c r="I15" s="93"/>
      <c r="J15" s="93"/>
      <c r="K15" s="93"/>
      <c r="L15" s="93"/>
      <c r="M15" s="93"/>
      <c r="N15" s="91"/>
      <c r="O15" s="91" t="str">
        <f>IFERROR(__xludf.DUMMYFUNCTION("""COMPUTED_VALUE"""),"Guilt-Free Family")</f>
        <v>Guilt-Free Family</v>
      </c>
      <c r="P15" s="93" t="str">
        <f>IFERROR(__xludf.DUMMYFUNCTION("""COMPUTED_VALUE"""),"Groceries")</f>
        <v>Groceries</v>
      </c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</row>
    <row r="16">
      <c r="A16" s="93"/>
      <c r="B16" s="93"/>
      <c r="C16" s="93"/>
      <c r="D16" s="93"/>
      <c r="E16" s="93"/>
      <c r="F16" s="93"/>
      <c r="G16" s="93"/>
      <c r="H16" s="93"/>
      <c r="I16" s="93"/>
      <c r="J16" s="93"/>
      <c r="K16" s="93"/>
      <c r="L16" s="93"/>
      <c r="M16" s="93"/>
      <c r="N16" s="91"/>
      <c r="O16" s="91" t="str">
        <f>IFERROR(__xludf.DUMMYFUNCTION("""COMPUTED_VALUE"""),"Guilt-Free Family")</f>
        <v>Guilt-Free Family</v>
      </c>
      <c r="P16" s="93" t="str">
        <f>IFERROR(__xludf.DUMMYFUNCTION("""COMPUTED_VALUE"""),"Healthcare")</f>
        <v>Healthcare</v>
      </c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</row>
    <row r="17">
      <c r="A17" s="93"/>
      <c r="B17" s="93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3"/>
      <c r="N17" s="91"/>
      <c r="O17" s="91" t="str">
        <f>IFERROR(__xludf.DUMMYFUNCTION("""COMPUTED_VALUE"""),"Guilt-Free Family")</f>
        <v>Guilt-Free Family</v>
      </c>
      <c r="P17" s="95" t="str">
        <f>IFERROR(__xludf.DUMMYFUNCTION("""COMPUTED_VALUE"""),"Hobbies")</f>
        <v>Hobbies</v>
      </c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</row>
    <row r="18">
      <c r="A18" s="93"/>
      <c r="B18" s="93"/>
      <c r="C18" s="93"/>
      <c r="D18" s="95"/>
      <c r="E18" s="93"/>
      <c r="F18" s="93"/>
      <c r="G18" s="93"/>
      <c r="H18" s="93"/>
      <c r="I18" s="93"/>
      <c r="J18" s="93"/>
      <c r="K18" s="93"/>
      <c r="L18" s="93"/>
      <c r="M18" s="93"/>
      <c r="N18" s="91"/>
      <c r="O18" s="91" t="str">
        <f>IFERROR(__xludf.DUMMYFUNCTION("""COMPUTED_VALUE"""),"Guilt-Free Family")</f>
        <v>Guilt-Free Family</v>
      </c>
      <c r="P18" s="95" t="str">
        <f>IFERROR(__xludf.DUMMYFUNCTION("""COMPUTED_VALUE"""),"Household Items")</f>
        <v>Household Items</v>
      </c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</row>
    <row r="19">
      <c r="A19" s="93"/>
      <c r="B19" s="93"/>
      <c r="C19" s="93"/>
      <c r="D19" s="95"/>
      <c r="E19" s="93"/>
      <c r="F19" s="93"/>
      <c r="G19" s="93"/>
      <c r="H19" s="93"/>
      <c r="I19" s="93"/>
      <c r="J19" s="93"/>
      <c r="K19" s="93"/>
      <c r="L19" s="93"/>
      <c r="M19" s="93"/>
      <c r="N19" s="91"/>
      <c r="O19" s="91" t="str">
        <f>IFERROR(__xludf.DUMMYFUNCTION("""COMPUTED_VALUE"""),"Guilt-Free Family")</f>
        <v>Guilt-Free Family</v>
      </c>
      <c r="P19" s="33" t="str">
        <f>IFERROR(__xludf.DUMMYFUNCTION("""COMPUTED_VALUE"""),"Subscriptions")</f>
        <v>Subscriptions</v>
      </c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</row>
    <row r="20">
      <c r="A20" s="93"/>
      <c r="B20" s="93"/>
      <c r="C20" s="93"/>
      <c r="D20" s="95"/>
      <c r="E20" s="93"/>
      <c r="F20" s="93"/>
      <c r="G20" s="93"/>
      <c r="H20" s="93"/>
      <c r="I20" s="93"/>
      <c r="J20" s="93"/>
      <c r="K20" s="93"/>
      <c r="L20" s="93"/>
      <c r="M20" s="93"/>
      <c r="N20" s="91"/>
      <c r="O20" s="91" t="str">
        <f>IFERROR(__xludf.DUMMYFUNCTION("""COMPUTED_VALUE"""),"Guilt-Free Family")</f>
        <v>Guilt-Free Family</v>
      </c>
      <c r="P20" s="95" t="str">
        <f>IFERROR(__xludf.DUMMYFUNCTION("""COMPUTED_VALUE"""),"Transportation")</f>
        <v>Transportation</v>
      </c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</row>
    <row r="21">
      <c r="A21" s="93"/>
      <c r="B21" s="93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1"/>
      <c r="O21" s="91" t="str">
        <f>IFERROR(__xludf.DUMMYFUNCTION("""COMPUTED_VALUE"""),"Guilt-Free Family")</f>
        <v>Guilt-Free Family</v>
      </c>
      <c r="P21" s="91" t="str">
        <f>IFERROR(__xludf.DUMMYFUNCTION("""COMPUTED_VALUE"""),"Travel")</f>
        <v>Travel</v>
      </c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</row>
    <row r="22">
      <c r="A22" s="93"/>
      <c r="B22" s="93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1"/>
      <c r="O22" s="91" t="str">
        <f>IFERROR(__xludf.DUMMYFUNCTION("""COMPUTED_VALUE"""),"Guilt-Free Kenji")</f>
        <v>Guilt-Free Kenji</v>
      </c>
      <c r="P22" s="95" t="str">
        <f>IFERROR(__xludf.DUMMYFUNCTION("""COMPUTED_VALUE"""),"Clothing")</f>
        <v>Clothing</v>
      </c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</row>
    <row r="23">
      <c r="A23" s="93"/>
      <c r="B23" s="93"/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1"/>
      <c r="O23" s="91" t="str">
        <f>IFERROR(__xludf.DUMMYFUNCTION("""COMPUTED_VALUE"""),"Guilt-Free Kenji")</f>
        <v>Guilt-Free Kenji</v>
      </c>
      <c r="P23" s="95" t="str">
        <f>IFERROR(__xludf.DUMMYFUNCTION("""COMPUTED_VALUE"""),"Gaming")</f>
        <v>Gaming</v>
      </c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</row>
    <row r="24">
      <c r="A24" s="93"/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1"/>
      <c r="O24" s="91" t="str">
        <f>IFERROR(__xludf.DUMMYFUNCTION("""COMPUTED_VALUE"""),"Guilt-Free Kenji")</f>
        <v>Guilt-Free Kenji</v>
      </c>
      <c r="P24" s="33" t="str">
        <f>IFERROR(__xludf.DUMMYFUNCTION("""COMPUTED_VALUE"""),"Gifts")</f>
        <v>Gifts</v>
      </c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</row>
    <row r="25">
      <c r="A25" s="93"/>
      <c r="B25" s="93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1"/>
      <c r="O25" s="91" t="str">
        <f>IFERROR(__xludf.DUMMYFUNCTION("""COMPUTED_VALUE"""),"Guilt-Free Kenji")</f>
        <v>Guilt-Free Kenji</v>
      </c>
      <c r="P25" s="93" t="str">
        <f>IFERROR(__xludf.DUMMYFUNCTION("""COMPUTED_VALUE"""),"Healthcare")</f>
        <v>Healthcare</v>
      </c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</row>
    <row r="26">
      <c r="A26" s="93"/>
      <c r="B26" s="93"/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1"/>
      <c r="O26" s="91" t="str">
        <f>IFERROR(__xludf.DUMMYFUNCTION("""COMPUTED_VALUE"""),"Guilt-Free Kenji")</f>
        <v>Guilt-Free Kenji</v>
      </c>
      <c r="P26" s="93" t="str">
        <f>IFERROR(__xludf.DUMMYFUNCTION("""COMPUTED_VALUE"""),"Hobbies")</f>
        <v>Hobbies</v>
      </c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</row>
    <row r="27">
      <c r="A27" s="93"/>
      <c r="B27" s="93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1"/>
      <c r="O27" s="91" t="str">
        <f>IFERROR(__xludf.DUMMYFUNCTION("""COMPUTED_VALUE"""),"Guilt-Free Kenji")</f>
        <v>Guilt-Free Kenji</v>
      </c>
      <c r="P27" s="93" t="str">
        <f>IFERROR(__xludf.DUMMYFUNCTION("""COMPUTED_VALUE"""),"Subscriptions")</f>
        <v>Subscriptions</v>
      </c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</row>
    <row r="28">
      <c r="A28" s="28"/>
      <c r="B28" s="28"/>
      <c r="C28" s="28"/>
      <c r="D28" s="28"/>
      <c r="E28" s="28"/>
      <c r="F28" s="28"/>
      <c r="G28" s="106"/>
      <c r="H28" s="28"/>
      <c r="I28" s="28"/>
      <c r="J28" s="28"/>
      <c r="K28" s="28"/>
      <c r="L28" s="28"/>
      <c r="M28" s="28"/>
      <c r="N28" s="91"/>
      <c r="O28" s="91" t="str">
        <f>IFERROR(__xludf.DUMMYFUNCTION("""COMPUTED_VALUE"""),"Guilt-Free Mei")</f>
        <v>Guilt-Free Mei</v>
      </c>
      <c r="P28" s="93" t="str">
        <f>IFERROR(__xludf.DUMMYFUNCTION("""COMPUTED_VALUE"""),"Clothing")</f>
        <v>Clothing</v>
      </c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</row>
    <row r="29">
      <c r="A29" s="28"/>
      <c r="B29" s="28"/>
      <c r="C29" s="28"/>
      <c r="D29" s="28"/>
      <c r="E29" s="28"/>
      <c r="F29" s="28"/>
      <c r="G29" s="106"/>
      <c r="H29" s="28"/>
      <c r="I29" s="28"/>
      <c r="J29" s="28"/>
      <c r="K29" s="28"/>
      <c r="L29" s="28"/>
      <c r="M29" s="28"/>
      <c r="N29" s="91"/>
      <c r="O29" s="91" t="str">
        <f>IFERROR(__xludf.DUMMYFUNCTION("""COMPUTED_VALUE"""),"Guilt-Free Mei")</f>
        <v>Guilt-Free Mei</v>
      </c>
      <c r="P29" s="93" t="str">
        <f>IFERROR(__xludf.DUMMYFUNCTION("""COMPUTED_VALUE"""),"Gifts")</f>
        <v>Gifts</v>
      </c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</row>
    <row r="30">
      <c r="A30" s="28"/>
      <c r="B30" s="28"/>
      <c r="C30" s="28"/>
      <c r="D30" s="28"/>
      <c r="E30" s="28"/>
      <c r="F30" s="28"/>
      <c r="G30" s="106"/>
      <c r="H30" s="28"/>
      <c r="I30" s="28"/>
      <c r="J30" s="28"/>
      <c r="K30" s="28"/>
      <c r="L30" s="28"/>
      <c r="M30" s="28"/>
      <c r="N30" s="91"/>
      <c r="O30" s="91" t="str">
        <f>IFERROR(__xludf.DUMMYFUNCTION("""COMPUTED_VALUE"""),"Guilt-Free Mei")</f>
        <v>Guilt-Free Mei</v>
      </c>
      <c r="P30" s="93" t="str">
        <f>IFERROR(__xludf.DUMMYFUNCTION("""COMPUTED_VALUE"""),"Healthcare")</f>
        <v>Healthcare</v>
      </c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</row>
    <row r="31">
      <c r="A31" s="28"/>
      <c r="B31" s="28"/>
      <c r="C31" s="28"/>
      <c r="D31" s="28"/>
      <c r="E31" s="28"/>
      <c r="F31" s="28"/>
      <c r="G31" s="106"/>
      <c r="H31" s="28"/>
      <c r="I31" s="28"/>
      <c r="J31" s="28"/>
      <c r="K31" s="28"/>
      <c r="L31" s="28"/>
      <c r="M31" s="28"/>
      <c r="N31" s="91"/>
      <c r="O31" s="91" t="str">
        <f>IFERROR(__xludf.DUMMYFUNCTION("""COMPUTED_VALUE"""),"Guilt-Free Mei")</f>
        <v>Guilt-Free Mei</v>
      </c>
      <c r="P31" s="93" t="str">
        <f>IFERROR(__xludf.DUMMYFUNCTION("""COMPUTED_VALUE"""),"Hobbies")</f>
        <v>Hobbies</v>
      </c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</row>
    <row r="32">
      <c r="A32" s="28"/>
      <c r="B32" s="28"/>
      <c r="C32" s="28"/>
      <c r="D32" s="28"/>
      <c r="E32" s="28"/>
      <c r="F32" s="28"/>
      <c r="G32" s="106"/>
      <c r="H32" s="28"/>
      <c r="I32" s="28"/>
      <c r="J32" s="28"/>
      <c r="K32" s="28"/>
      <c r="L32" s="28"/>
      <c r="M32" s="28"/>
      <c r="N32" s="91"/>
      <c r="O32" s="91" t="str">
        <f>IFERROR(__xludf.DUMMYFUNCTION("""COMPUTED_VALUE"""),"Guilt-Free Mei")</f>
        <v>Guilt-Free Mei</v>
      </c>
      <c r="P32" s="93" t="str">
        <f>IFERROR(__xludf.DUMMYFUNCTION("""COMPUTED_VALUE"""),"Organization")</f>
        <v>Organization</v>
      </c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</row>
    <row r="33">
      <c r="A33" s="28"/>
      <c r="B33" s="28"/>
      <c r="C33" s="28"/>
      <c r="D33" s="28"/>
      <c r="E33" s="28"/>
      <c r="F33" s="28"/>
      <c r="G33" s="106"/>
      <c r="H33" s="28"/>
      <c r="I33" s="28"/>
      <c r="J33" s="28"/>
      <c r="K33" s="28"/>
      <c r="L33" s="28"/>
      <c r="M33" s="28"/>
      <c r="N33" s="91"/>
      <c r="O33" s="91" t="str">
        <f>IFERROR(__xludf.DUMMYFUNCTION("""COMPUTED_VALUE"""),"Guilt-Free Pet")</f>
        <v>Guilt-Free Pet</v>
      </c>
      <c r="P33" s="93" t="str">
        <f>IFERROR(__xludf.DUMMYFUNCTION("""COMPUTED_VALUE"""),"Boarding")</f>
        <v>Boarding</v>
      </c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</row>
    <row r="34">
      <c r="A34" s="28"/>
      <c r="B34" s="28"/>
      <c r="C34" s="28"/>
      <c r="D34" s="28"/>
      <c r="E34" s="28"/>
      <c r="F34" s="28"/>
      <c r="G34" s="106"/>
      <c r="H34" s="28"/>
      <c r="I34" s="28"/>
      <c r="J34" s="28"/>
      <c r="K34" s="28"/>
      <c r="L34" s="28"/>
      <c r="M34" s="28"/>
      <c r="N34" s="91"/>
      <c r="O34" s="91" t="str">
        <f>IFERROR(__xludf.DUMMYFUNCTION("""COMPUTED_VALUE"""),"Guilt-Free Pet")</f>
        <v>Guilt-Free Pet</v>
      </c>
      <c r="P34" s="33" t="str">
        <f>IFERROR(__xludf.DUMMYFUNCTION("""COMPUTED_VALUE"""),"Clothing")</f>
        <v>Clothing</v>
      </c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</row>
    <row r="35">
      <c r="A35" s="28"/>
      <c r="B35" s="28"/>
      <c r="C35" s="28"/>
      <c r="D35" s="28"/>
      <c r="E35" s="28"/>
      <c r="F35" s="28"/>
      <c r="G35" s="106"/>
      <c r="H35" s="28"/>
      <c r="I35" s="28"/>
      <c r="J35" s="28"/>
      <c r="K35" s="28"/>
      <c r="L35" s="28"/>
      <c r="M35" s="28"/>
      <c r="N35" s="91"/>
      <c r="O35" s="91" t="str">
        <f>IFERROR(__xludf.DUMMYFUNCTION("""COMPUTED_VALUE"""),"Guilt-Free Pet")</f>
        <v>Guilt-Free Pet</v>
      </c>
      <c r="P35" s="93" t="str">
        <f>IFERROR(__xludf.DUMMYFUNCTION("""COMPUTED_VALUE"""),"Daycare")</f>
        <v>Daycare</v>
      </c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</row>
    <row r="36">
      <c r="A36" s="28"/>
      <c r="B36" s="28"/>
      <c r="C36" s="28"/>
      <c r="D36" s="28"/>
      <c r="E36" s="28"/>
      <c r="F36" s="28"/>
      <c r="G36" s="106"/>
      <c r="H36" s="28"/>
      <c r="I36" s="28"/>
      <c r="J36" s="28"/>
      <c r="K36" s="28"/>
      <c r="L36" s="28"/>
      <c r="M36" s="28"/>
      <c r="N36" s="91"/>
      <c r="O36" s="91" t="str">
        <f>IFERROR(__xludf.DUMMYFUNCTION("""COMPUTED_VALUE"""),"Guilt-Free Pet")</f>
        <v>Guilt-Free Pet</v>
      </c>
      <c r="P36" s="93" t="str">
        <f>IFERROR(__xludf.DUMMYFUNCTION("""COMPUTED_VALUE"""),"Grooming")</f>
        <v>Grooming</v>
      </c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</row>
    <row r="37">
      <c r="A37" s="28"/>
      <c r="B37" s="28"/>
      <c r="C37" s="28"/>
      <c r="D37" s="28"/>
      <c r="E37" s="28"/>
      <c r="F37" s="28"/>
      <c r="G37" s="106"/>
      <c r="H37" s="28"/>
      <c r="I37" s="28"/>
      <c r="J37" s="28"/>
      <c r="K37" s="28"/>
      <c r="L37" s="28"/>
      <c r="M37" s="28"/>
      <c r="N37" s="91"/>
      <c r="O37" s="91" t="str">
        <f>IFERROR(__xludf.DUMMYFUNCTION("""COMPUTED_VALUE"""),"Guilt-Free Pet")</f>
        <v>Guilt-Free Pet</v>
      </c>
      <c r="P37" s="93" t="str">
        <f>IFERROR(__xludf.DUMMYFUNCTION("""COMPUTED_VALUE"""),"Toys")</f>
        <v>Toys</v>
      </c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</row>
    <row r="38">
      <c r="A38" s="28"/>
      <c r="B38" s="28"/>
      <c r="C38" s="28"/>
      <c r="D38" s="28"/>
      <c r="E38" s="28"/>
      <c r="F38" s="28"/>
      <c r="G38" s="106"/>
      <c r="H38" s="28"/>
      <c r="I38" s="28"/>
      <c r="J38" s="28"/>
      <c r="K38" s="28"/>
      <c r="L38" s="28"/>
      <c r="M38" s="28"/>
      <c r="N38" s="91"/>
      <c r="O38" s="91" t="str">
        <f>IFERROR(__xludf.DUMMYFUNCTION("""COMPUTED_VALUE"""),"Guilt-Free Pet")</f>
        <v>Guilt-Free Pet</v>
      </c>
      <c r="P38" s="93" t="str">
        <f>IFERROR(__xludf.DUMMYFUNCTION("""COMPUTED_VALUE"""),"Treats")</f>
        <v>Treats</v>
      </c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</row>
    <row r="39">
      <c r="A39" s="28"/>
      <c r="B39" s="28"/>
      <c r="C39" s="28"/>
      <c r="D39" s="28"/>
      <c r="E39" s="28"/>
      <c r="F39" s="28"/>
      <c r="G39" s="106"/>
      <c r="H39" s="28"/>
      <c r="I39" s="28"/>
      <c r="J39" s="28"/>
      <c r="K39" s="28"/>
      <c r="L39" s="28"/>
      <c r="M39" s="28"/>
      <c r="N39" s="91"/>
      <c r="O39" s="91" t="str">
        <f>IFERROR(__xludf.DUMMYFUNCTION("""COMPUTED_VALUE"""),"Income")</f>
        <v>Income</v>
      </c>
      <c r="P39" s="93" t="str">
        <f>IFERROR(__xludf.DUMMYFUNCTION("""COMPUTED_VALUE"""),"Cashback")</f>
        <v>Cashback</v>
      </c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</row>
    <row r="40">
      <c r="A40" s="28"/>
      <c r="B40" s="28"/>
      <c r="C40" s="28"/>
      <c r="D40" s="28"/>
      <c r="E40" s="28"/>
      <c r="F40" s="28"/>
      <c r="G40" s="106"/>
      <c r="H40" s="28"/>
      <c r="I40" s="28"/>
      <c r="J40" s="28"/>
      <c r="K40" s="28"/>
      <c r="L40" s="28"/>
      <c r="M40" s="28"/>
      <c r="N40" s="91"/>
      <c r="O40" s="91" t="str">
        <f>IFERROR(__xludf.DUMMYFUNCTION("""COMPUTED_VALUE"""),"Income")</f>
        <v>Income</v>
      </c>
      <c r="P40" s="33" t="str">
        <f>IFERROR(__xludf.DUMMYFUNCTION("""COMPUTED_VALUE"""),"Investment Returns")</f>
        <v>Investment Returns</v>
      </c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</row>
    <row r="41">
      <c r="A41" s="28"/>
      <c r="B41" s="28"/>
      <c r="C41" s="28"/>
      <c r="D41" s="28"/>
      <c r="E41" s="28"/>
      <c r="F41" s="28"/>
      <c r="G41" s="106"/>
      <c r="H41" s="28"/>
      <c r="I41" s="28"/>
      <c r="J41" s="28"/>
      <c r="K41" s="28"/>
      <c r="L41" s="28"/>
      <c r="M41" s="28"/>
      <c r="N41" s="91"/>
      <c r="O41" s="91" t="str">
        <f>IFERROR(__xludf.DUMMYFUNCTION("""COMPUTED_VALUE"""),"Income")</f>
        <v>Income</v>
      </c>
      <c r="P41" s="93" t="str">
        <f>IFERROR(__xludf.DUMMYFUNCTION("""COMPUTED_VALUE"""),"Paycheck")</f>
        <v>Paycheck</v>
      </c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</row>
    <row r="42">
      <c r="A42" s="28"/>
      <c r="B42" s="28"/>
      <c r="C42" s="28"/>
      <c r="D42" s="28"/>
      <c r="E42" s="28"/>
      <c r="F42" s="28"/>
      <c r="G42" s="106"/>
      <c r="H42" s="28"/>
      <c r="I42" s="28"/>
      <c r="J42" s="28"/>
      <c r="K42" s="28"/>
      <c r="L42" s="28"/>
      <c r="M42" s="28"/>
      <c r="N42" s="91"/>
      <c r="O42" s="91" t="str">
        <f>IFERROR(__xludf.DUMMYFUNCTION("""COMPUTED_VALUE"""),"Income")</f>
        <v>Income</v>
      </c>
      <c r="P42" s="93" t="str">
        <f>IFERROR(__xludf.DUMMYFUNCTION("""COMPUTED_VALUE"""),"Reimbursement")</f>
        <v>Reimbursement</v>
      </c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</row>
    <row r="43">
      <c r="A43" s="28"/>
      <c r="B43" s="28"/>
      <c r="C43" s="28"/>
      <c r="D43" s="28"/>
      <c r="E43" s="28"/>
      <c r="F43" s="28"/>
      <c r="G43" s="106"/>
      <c r="H43" s="28"/>
      <c r="I43" s="28"/>
      <c r="J43" s="28"/>
      <c r="K43" s="28"/>
      <c r="L43" s="28"/>
      <c r="M43" s="28"/>
      <c r="N43" s="91"/>
      <c r="O43" s="91" t="str">
        <f>IFERROR(__xludf.DUMMYFUNCTION("""COMPUTED_VALUE"""),"Income")</f>
        <v>Income</v>
      </c>
      <c r="P43" s="33" t="str">
        <f>IFERROR(__xludf.DUMMYFUNCTION("""COMPUTED_VALUE"""),"Rewards")</f>
        <v>Rewards</v>
      </c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</row>
    <row r="44">
      <c r="A44" s="28"/>
      <c r="B44" s="28"/>
      <c r="C44" s="28"/>
      <c r="D44" s="28"/>
      <c r="E44" s="28"/>
      <c r="F44" s="28"/>
      <c r="G44" s="106"/>
      <c r="H44" s="28"/>
      <c r="I44" s="28"/>
      <c r="J44" s="28"/>
      <c r="K44" s="28"/>
      <c r="L44" s="28"/>
      <c r="M44" s="28"/>
      <c r="N44" s="91"/>
      <c r="O44" s="91" t="str">
        <f>IFERROR(__xludf.DUMMYFUNCTION("""COMPUTED_VALUE"""),"Investments")</f>
        <v>Investments</v>
      </c>
      <c r="P44" s="95" t="str">
        <f>IFERROR(__xludf.DUMMYFUNCTION("""COMPUTED_VALUE"""),"FHSA")</f>
        <v>FHSA</v>
      </c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</row>
    <row r="45">
      <c r="A45" s="28"/>
      <c r="B45" s="28"/>
      <c r="C45" s="28"/>
      <c r="D45" s="28"/>
      <c r="E45" s="28"/>
      <c r="F45" s="28"/>
      <c r="G45" s="106"/>
      <c r="H45" s="28"/>
      <c r="I45" s="28"/>
      <c r="J45" s="28"/>
      <c r="K45" s="28"/>
      <c r="L45" s="28"/>
      <c r="M45" s="28"/>
      <c r="N45" s="91"/>
      <c r="O45" s="91" t="str">
        <f>IFERROR(__xludf.DUMMYFUNCTION("""COMPUTED_VALUE"""),"Investments")</f>
        <v>Investments</v>
      </c>
      <c r="P45" s="95" t="str">
        <f>IFERROR(__xludf.DUMMYFUNCTION("""COMPUTED_VALUE"""),"RRSP")</f>
        <v>RRSP</v>
      </c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</row>
    <row r="46">
      <c r="A46" s="28"/>
      <c r="B46" s="28"/>
      <c r="C46" s="28"/>
      <c r="D46" s="28"/>
      <c r="E46" s="28"/>
      <c r="F46" s="28"/>
      <c r="G46" s="106"/>
      <c r="H46" s="28"/>
      <c r="I46" s="28"/>
      <c r="J46" s="28"/>
      <c r="K46" s="28"/>
      <c r="L46" s="28"/>
      <c r="M46" s="28"/>
      <c r="N46" s="91"/>
      <c r="O46" s="91" t="str">
        <f>IFERROR(__xludf.DUMMYFUNCTION("""COMPUTED_VALUE"""),"Investments")</f>
        <v>Investments</v>
      </c>
      <c r="P46" s="95" t="str">
        <f>IFERROR(__xludf.DUMMYFUNCTION("""COMPUTED_VALUE"""),"TFSA")</f>
        <v>TFSA</v>
      </c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</row>
    <row r="47">
      <c r="A47" s="28"/>
      <c r="B47" s="28"/>
      <c r="C47" s="28"/>
      <c r="D47" s="28"/>
      <c r="E47" s="28"/>
      <c r="F47" s="28"/>
      <c r="G47" s="106"/>
      <c r="H47" s="28"/>
      <c r="I47" s="28"/>
      <c r="J47" s="28"/>
      <c r="K47" s="28"/>
      <c r="L47" s="28"/>
      <c r="M47" s="28"/>
      <c r="N47" s="91"/>
      <c r="O47" s="91" t="str">
        <f>IFERROR(__xludf.DUMMYFUNCTION("""COMPUTED_VALUE"""),"Savings")</f>
        <v>Savings</v>
      </c>
      <c r="P47" s="95" t="str">
        <f>IFERROR(__xludf.DUMMYFUNCTION("""COMPUTED_VALUE"""),"Car Fund")</f>
        <v>Car Fund</v>
      </c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</row>
    <row r="48">
      <c r="A48" s="28"/>
      <c r="B48" s="28"/>
      <c r="C48" s="28"/>
      <c r="D48" s="28"/>
      <c r="E48" s="28"/>
      <c r="F48" s="28"/>
      <c r="G48" s="106"/>
      <c r="H48" s="28"/>
      <c r="I48" s="28"/>
      <c r="J48" s="28"/>
      <c r="K48" s="28"/>
      <c r="L48" s="28"/>
      <c r="M48" s="28"/>
      <c r="N48" s="91"/>
      <c r="O48" s="91" t="str">
        <f>IFERROR(__xludf.DUMMYFUNCTION("""COMPUTED_VALUE"""),"Savings")</f>
        <v>Savings</v>
      </c>
      <c r="P48" s="95" t="str">
        <f>IFERROR(__xludf.DUMMYFUNCTION("""COMPUTED_VALUE"""),"Emergency Fund")</f>
        <v>Emergency Fund</v>
      </c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</row>
    <row r="49">
      <c r="A49" s="28"/>
      <c r="B49" s="28"/>
      <c r="C49" s="28"/>
      <c r="D49" s="28"/>
      <c r="E49" s="28"/>
      <c r="F49" s="28"/>
      <c r="G49" s="106"/>
      <c r="H49" s="106"/>
      <c r="I49" s="28"/>
      <c r="J49" s="28"/>
      <c r="K49" s="28"/>
      <c r="L49" s="28"/>
      <c r="M49" s="28"/>
      <c r="N49" s="91"/>
      <c r="O49" s="91" t="str">
        <f>IFERROR(__xludf.DUMMYFUNCTION("""COMPUTED_VALUE"""),"Savings")</f>
        <v>Savings</v>
      </c>
      <c r="P49" s="95" t="str">
        <f>IFERROR(__xludf.DUMMYFUNCTION("""COMPUTED_VALUE"""),"Family Fund")</f>
        <v>Family Fund</v>
      </c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</row>
    <row r="50">
      <c r="A50" s="28"/>
      <c r="B50" s="28"/>
      <c r="C50" s="28"/>
      <c r="D50" s="28"/>
      <c r="E50" s="28"/>
      <c r="F50" s="28"/>
      <c r="G50" s="106"/>
      <c r="H50" s="28"/>
      <c r="I50" s="28"/>
      <c r="J50" s="28"/>
      <c r="K50" s="28"/>
      <c r="L50" s="28"/>
      <c r="M50" s="28"/>
      <c r="N50" s="92"/>
      <c r="O50" s="92" t="str">
        <f>IFERROR(__xludf.DUMMYFUNCTION("""COMPUTED_VALUE"""),"Savings")</f>
        <v>Savings</v>
      </c>
      <c r="P50" s="93" t="str">
        <f>IFERROR(__xludf.DUMMYFUNCTION("""COMPUTED_VALUE"""),"Kenji Fund")</f>
        <v>Kenji Fund</v>
      </c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</row>
    <row r="5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92"/>
      <c r="O51" s="92" t="str">
        <f>IFERROR(__xludf.DUMMYFUNCTION("""COMPUTED_VALUE"""),"Savings")</f>
        <v>Savings</v>
      </c>
      <c r="P51" s="93" t="str">
        <f>IFERROR(__xludf.DUMMYFUNCTION("""COMPUTED_VALUE"""),"Mei Fund")</f>
        <v>Mei Fund</v>
      </c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</row>
    <row r="52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 t="str">
        <f>IFERROR(__xludf.DUMMYFUNCTION("""COMPUTED_VALUE"""),"Savings")</f>
        <v>Savings</v>
      </c>
      <c r="P52" s="28" t="str">
        <f>IFERROR(__xludf.DUMMYFUNCTION("""COMPUTED_VALUE"""),"Pet Fund")</f>
        <v>Pet Fund</v>
      </c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</row>
    <row r="53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 t="str">
        <f>IFERROR(__xludf.DUMMYFUNCTION("""COMPUTED_VALUE"""),"Savings")</f>
        <v>Savings</v>
      </c>
      <c r="P53" s="28" t="str">
        <f>IFERROR(__xludf.DUMMYFUNCTION("""COMPUTED_VALUE"""),"Vacation Fund")</f>
        <v>Vacation Fund</v>
      </c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</row>
    <row r="54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 t="str">
        <f>IFERROR(__xludf.DUMMYFUNCTION("""COMPUTED_VALUE"""),"Savings Spending")</f>
        <v>Savings Spending</v>
      </c>
      <c r="P54" s="28" t="str">
        <f>IFERROR(__xludf.DUMMYFUNCTION("""COMPUTED_VALUE"""),"Car Fund")</f>
        <v>Car Fund</v>
      </c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</row>
    <row r="5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 t="str">
        <f>IFERROR(__xludf.DUMMYFUNCTION("""COMPUTED_VALUE"""),"Savings Spending")</f>
        <v>Savings Spending</v>
      </c>
      <c r="P55" s="28" t="str">
        <f>IFERROR(__xludf.DUMMYFUNCTION("""COMPUTED_VALUE"""),"Emergency Fund")</f>
        <v>Emergency Fund</v>
      </c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</row>
    <row r="56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 t="str">
        <f>IFERROR(__xludf.DUMMYFUNCTION("""COMPUTED_VALUE"""),"Savings Spending")</f>
        <v>Savings Spending</v>
      </c>
      <c r="P56" s="28" t="str">
        <f>IFERROR(__xludf.DUMMYFUNCTION("""COMPUTED_VALUE"""),"Kenji Fund")</f>
        <v>Kenji Fund</v>
      </c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</row>
    <row r="57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 t="str">
        <f>IFERROR(__xludf.DUMMYFUNCTION("""COMPUTED_VALUE"""),"Savings Spending")</f>
        <v>Savings Spending</v>
      </c>
      <c r="P57" s="28" t="str">
        <f>IFERROR(__xludf.DUMMYFUNCTION("""COMPUTED_VALUE"""),"Mei Fund")</f>
        <v>Mei Fund</v>
      </c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</row>
    <row r="58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 t="str">
        <f>IFERROR(__xludf.DUMMYFUNCTION("""COMPUTED_VALUE"""),"Savings Spending")</f>
        <v>Savings Spending</v>
      </c>
      <c r="P58" s="28" t="str">
        <f>IFERROR(__xludf.DUMMYFUNCTION("""COMPUTED_VALUE"""),"Pet Fund")</f>
        <v>Pet Fund</v>
      </c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</row>
    <row r="59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 t="str">
        <f>IFERROR(__xludf.DUMMYFUNCTION("""COMPUTED_VALUE"""),"Savings Spending")</f>
        <v>Savings Spending</v>
      </c>
      <c r="P59" s="28" t="str">
        <f>IFERROR(__xludf.DUMMYFUNCTION("""COMPUTED_VALUE"""),"Vacation Fund")</f>
        <v>Vacation Fund</v>
      </c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</row>
    <row r="60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 t="str">
        <f>IFERROR(__xludf.DUMMYFUNCTION("""COMPUTED_VALUE"""),"Transfer")</f>
        <v>Transfer</v>
      </c>
      <c r="P60" s="28" t="str">
        <f>IFERROR(__xludf.DUMMYFUNCTION("""COMPUTED_VALUE"""),"Deposit")</f>
        <v>Deposit</v>
      </c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</row>
    <row r="6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 t="str">
        <f>IFERROR(__xludf.DUMMYFUNCTION("""COMPUTED_VALUE"""),"Transfer")</f>
        <v>Transfer</v>
      </c>
      <c r="P61" s="28" t="str">
        <f>IFERROR(__xludf.DUMMYFUNCTION("""COMPUTED_VALUE"""),"Withdrawal")</f>
        <v>Withdrawal</v>
      </c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</row>
    <row r="62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</row>
    <row r="63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</row>
    <row r="64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</row>
    <row r="65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</row>
    <row r="66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</row>
    <row r="67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</row>
    <row r="68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</row>
    <row r="69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</row>
    <row r="70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</row>
    <row r="7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</row>
    <row r="72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</row>
    <row r="73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</row>
    <row r="74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</row>
    <row r="7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</row>
    <row r="76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</row>
    <row r="77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</row>
    <row r="78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</row>
    <row r="79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</row>
    <row r="80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</row>
    <row r="8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</row>
    <row r="82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</row>
    <row r="83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</row>
    <row r="84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</row>
    <row r="8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</row>
    <row r="86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</row>
    <row r="87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</row>
    <row r="88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</row>
    <row r="89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</row>
    <row r="90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</row>
    <row r="9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</row>
    <row r="92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</row>
    <row r="93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</row>
    <row r="94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</row>
    <row r="9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</row>
    <row r="96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</row>
    <row r="97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</row>
    <row r="98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</row>
    <row r="99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</row>
    <row r="100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</row>
    <row r="10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</row>
    <row r="102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</row>
    <row r="103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</row>
    <row r="104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</row>
    <row r="105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</row>
    <row r="106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</row>
    <row r="107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</row>
    <row r="108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</row>
    <row r="109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</row>
    <row r="110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</row>
    <row r="11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</row>
    <row r="112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</row>
    <row r="113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</row>
    <row r="114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</row>
    <row r="11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</row>
    <row r="116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</row>
    <row r="117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</row>
    <row r="118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</row>
    <row r="119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</row>
    <row r="120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</row>
    <row r="12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</row>
    <row r="122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</row>
    <row r="123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</row>
    <row r="124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</row>
    <row r="12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</row>
    <row r="126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</row>
    <row r="127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</row>
    <row r="128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</row>
    <row r="129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</row>
    <row r="130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</row>
    <row r="13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</row>
    <row r="132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</row>
    <row r="133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</row>
    <row r="134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</row>
    <row r="13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</row>
    <row r="136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</row>
    <row r="137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</row>
    <row r="138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</row>
    <row r="139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</row>
    <row r="140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</row>
    <row r="14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</row>
    <row r="142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</row>
    <row r="143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</row>
    <row r="144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</row>
    <row r="14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</row>
    <row r="146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</row>
    <row r="147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</row>
    <row r="148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</row>
    <row r="149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</row>
    <row r="150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</row>
    <row r="15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</row>
    <row r="152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</row>
    <row r="153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</row>
    <row r="154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</row>
    <row r="15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</row>
    <row r="156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</row>
    <row r="157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</row>
    <row r="158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</row>
    <row r="159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</row>
    <row r="160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</row>
    <row r="16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</row>
    <row r="162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</row>
    <row r="163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</row>
    <row r="164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</row>
    <row r="16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</row>
    <row r="166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</row>
    <row r="167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</row>
    <row r="168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</row>
    <row r="169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</row>
    <row r="170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</row>
    <row r="17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</row>
    <row r="172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</row>
    <row r="173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</row>
    <row r="174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</row>
    <row r="17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</row>
    <row r="176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</row>
    <row r="177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</row>
    <row r="178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</row>
    <row r="179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</row>
    <row r="180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</row>
    <row r="18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</row>
    <row r="182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</row>
    <row r="183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</row>
    <row r="184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</row>
    <row r="185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</row>
    <row r="186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</row>
    <row r="187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</row>
    <row r="188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</row>
    <row r="189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  <c r="AL189" s="28"/>
    </row>
    <row r="190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</row>
    <row r="19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</row>
    <row r="192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</row>
    <row r="193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</row>
    <row r="194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  <c r="AK194" s="28"/>
      <c r="AL194" s="28"/>
    </row>
    <row r="19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  <c r="AL195" s="28"/>
    </row>
    <row r="196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  <c r="AJ196" s="28"/>
      <c r="AK196" s="28"/>
      <c r="AL196" s="28"/>
    </row>
    <row r="197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  <c r="AK197" s="28"/>
      <c r="AL197" s="28"/>
    </row>
    <row r="198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  <c r="AL198" s="28"/>
    </row>
    <row r="199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  <c r="AL199" s="28"/>
    </row>
    <row r="200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  <c r="AK200" s="28"/>
      <c r="AL200" s="28"/>
    </row>
    <row r="20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</row>
    <row r="202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  <c r="AK202" s="28"/>
      <c r="AL202" s="28"/>
    </row>
    <row r="203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28"/>
    </row>
    <row r="204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  <c r="AK204" s="28"/>
      <c r="AL204" s="28"/>
    </row>
    <row r="205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</row>
    <row r="206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  <c r="AK206" s="28"/>
      <c r="AL206" s="28"/>
    </row>
    <row r="207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  <c r="AL207" s="28"/>
    </row>
    <row r="208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  <c r="AK208" s="28"/>
      <c r="AL208" s="28"/>
    </row>
    <row r="209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28"/>
    </row>
    <row r="210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  <c r="AK210" s="28"/>
      <c r="AL210" s="28"/>
    </row>
    <row r="21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  <c r="AK211" s="28"/>
      <c r="AL211" s="28"/>
    </row>
    <row r="212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  <c r="AK212" s="28"/>
      <c r="AL212" s="28"/>
    </row>
    <row r="213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  <c r="AL213" s="28"/>
    </row>
    <row r="214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  <c r="AK214" s="28"/>
      <c r="AL214" s="28"/>
    </row>
    <row r="215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  <c r="AL215" s="28"/>
    </row>
    <row r="216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  <c r="AK216" s="28"/>
      <c r="AL216" s="28"/>
    </row>
    <row r="217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  <c r="AL217" s="28"/>
    </row>
    <row r="218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  <c r="AL218" s="28"/>
    </row>
    <row r="219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  <c r="AL219" s="28"/>
    </row>
    <row r="220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  <c r="AK220" s="28"/>
      <c r="AL220" s="28"/>
    </row>
    <row r="22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</row>
    <row r="222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</row>
    <row r="223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</row>
    <row r="224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  <c r="AL224" s="28"/>
    </row>
    <row r="225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</row>
    <row r="226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</row>
    <row r="227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  <c r="AL227" s="28"/>
    </row>
    <row r="228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  <c r="AL228" s="28"/>
    </row>
    <row r="229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  <c r="AK229" s="28"/>
      <c r="AL229" s="28"/>
    </row>
    <row r="230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  <c r="AK230" s="28"/>
      <c r="AL230" s="28"/>
    </row>
    <row r="23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  <c r="AK231" s="28"/>
      <c r="AL231" s="28"/>
    </row>
    <row r="232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  <c r="AJ232" s="28"/>
      <c r="AK232" s="28"/>
      <c r="AL232" s="28"/>
    </row>
    <row r="233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  <c r="AK233" s="28"/>
      <c r="AL233" s="28"/>
    </row>
    <row r="234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  <c r="AK234" s="28"/>
      <c r="AL234" s="28"/>
    </row>
    <row r="235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  <c r="AK235" s="28"/>
      <c r="AL235" s="28"/>
    </row>
    <row r="236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  <c r="AJ236" s="28"/>
      <c r="AK236" s="28"/>
      <c r="AL236" s="28"/>
    </row>
    <row r="237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  <c r="AL237" s="28"/>
    </row>
    <row r="238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  <c r="AJ238" s="28"/>
      <c r="AK238" s="28"/>
      <c r="AL238" s="28"/>
    </row>
    <row r="239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</row>
    <row r="240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  <c r="AK240" s="28"/>
      <c r="AL240" s="28"/>
    </row>
    <row r="24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  <c r="AL241" s="28"/>
    </row>
    <row r="242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  <c r="AJ242" s="28"/>
      <c r="AK242" s="28"/>
      <c r="AL242" s="28"/>
    </row>
    <row r="243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8"/>
      <c r="AK243" s="28"/>
      <c r="AL243" s="28"/>
    </row>
    <row r="244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  <c r="AJ244" s="28"/>
      <c r="AK244" s="28"/>
      <c r="AL244" s="28"/>
    </row>
    <row r="245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</row>
    <row r="246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  <c r="AK246" s="28"/>
      <c r="AL246" s="28"/>
    </row>
    <row r="247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  <c r="AK247" s="28"/>
      <c r="AL247" s="28"/>
    </row>
    <row r="248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  <c r="AK248" s="28"/>
      <c r="AL248" s="28"/>
    </row>
    <row r="249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  <c r="AL249" s="28"/>
    </row>
    <row r="250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  <c r="AK250" s="28"/>
      <c r="AL250" s="28"/>
    </row>
    <row r="25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  <c r="AK251" s="28"/>
      <c r="AL251" s="28"/>
    </row>
    <row r="252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  <c r="AK252" s="28"/>
      <c r="AL252" s="28"/>
    </row>
    <row r="253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  <c r="AL253" s="28"/>
    </row>
    <row r="254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  <c r="AK254" s="28"/>
      <c r="AL254" s="28"/>
    </row>
    <row r="255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  <c r="AK255" s="28"/>
      <c r="AL255" s="28"/>
    </row>
    <row r="256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</row>
    <row r="257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  <c r="AL257" s="28"/>
    </row>
    <row r="258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  <c r="AK258" s="28"/>
      <c r="AL258" s="28"/>
    </row>
    <row r="259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  <c r="AL259" s="28"/>
    </row>
    <row r="260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  <c r="AK260" s="28"/>
      <c r="AL260" s="28"/>
    </row>
    <row r="26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  <c r="AK261" s="28"/>
      <c r="AL261" s="28"/>
    </row>
    <row r="262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  <c r="AK262" s="28"/>
      <c r="AL262" s="28"/>
    </row>
    <row r="263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</row>
    <row r="264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  <c r="AK264" s="28"/>
      <c r="AL264" s="28"/>
    </row>
    <row r="265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  <c r="AJ265" s="28"/>
      <c r="AK265" s="28"/>
      <c r="AL265" s="28"/>
    </row>
    <row r="266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</row>
    <row r="267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  <c r="AJ267" s="28"/>
      <c r="AK267" s="28"/>
      <c r="AL267" s="28"/>
    </row>
    <row r="268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28"/>
      <c r="AJ268" s="28"/>
      <c r="AK268" s="28"/>
      <c r="AL268" s="28"/>
    </row>
    <row r="269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  <c r="AK269" s="28"/>
      <c r="AL269" s="28"/>
    </row>
    <row r="270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  <c r="AJ270" s="28"/>
      <c r="AK270" s="28"/>
      <c r="AL270" s="28"/>
    </row>
    <row r="27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  <c r="AJ271" s="28"/>
      <c r="AK271" s="28"/>
      <c r="AL271" s="28"/>
    </row>
    <row r="272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  <c r="AJ272" s="28"/>
      <c r="AK272" s="28"/>
      <c r="AL272" s="28"/>
    </row>
    <row r="273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  <c r="AJ273" s="28"/>
      <c r="AK273" s="28"/>
      <c r="AL273" s="28"/>
    </row>
    <row r="274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28"/>
      <c r="AJ274" s="28"/>
      <c r="AK274" s="28"/>
      <c r="AL274" s="28"/>
    </row>
    <row r="27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  <c r="AJ275" s="28"/>
      <c r="AK275" s="28"/>
      <c r="AL275" s="28"/>
    </row>
    <row r="276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  <c r="AJ276" s="28"/>
      <c r="AK276" s="28"/>
      <c r="AL276" s="28"/>
    </row>
    <row r="277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  <c r="AJ277" s="28"/>
      <c r="AK277" s="28"/>
      <c r="AL277" s="28"/>
    </row>
    <row r="278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28"/>
      <c r="AJ278" s="28"/>
      <c r="AK278" s="28"/>
      <c r="AL278" s="28"/>
    </row>
    <row r="279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28"/>
      <c r="AJ279" s="28"/>
      <c r="AK279" s="28"/>
      <c r="AL279" s="28"/>
    </row>
    <row r="280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28"/>
      <c r="AJ280" s="28"/>
      <c r="AK280" s="28"/>
      <c r="AL280" s="28"/>
    </row>
    <row r="28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  <c r="AJ281" s="28"/>
      <c r="AK281" s="28"/>
      <c r="AL281" s="28"/>
    </row>
    <row r="282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  <c r="AJ282" s="28"/>
      <c r="AK282" s="28"/>
      <c r="AL282" s="28"/>
    </row>
    <row r="283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  <c r="AK283" s="28"/>
      <c r="AL283" s="28"/>
    </row>
    <row r="284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  <c r="AJ284" s="28"/>
      <c r="AK284" s="28"/>
      <c r="AL284" s="28"/>
    </row>
    <row r="28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  <c r="AK285" s="28"/>
      <c r="AL285" s="28"/>
    </row>
    <row r="286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  <c r="AJ286" s="28"/>
      <c r="AK286" s="28"/>
      <c r="AL286" s="28"/>
    </row>
    <row r="287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  <c r="AJ287" s="28"/>
      <c r="AK287" s="28"/>
      <c r="AL287" s="28"/>
    </row>
    <row r="288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  <c r="AJ288" s="28"/>
      <c r="AK288" s="28"/>
      <c r="AL288" s="28"/>
    </row>
    <row r="289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  <c r="AJ289" s="28"/>
      <c r="AK289" s="28"/>
      <c r="AL289" s="28"/>
    </row>
    <row r="290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  <c r="AJ290" s="28"/>
      <c r="AK290" s="28"/>
      <c r="AL290" s="28"/>
    </row>
    <row r="29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  <c r="AJ291" s="28"/>
      <c r="AK291" s="28"/>
      <c r="AL291" s="28"/>
    </row>
    <row r="292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28"/>
      <c r="AJ292" s="28"/>
      <c r="AK292" s="28"/>
      <c r="AL292" s="28"/>
    </row>
    <row r="293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  <c r="AJ293" s="28"/>
      <c r="AK293" s="28"/>
      <c r="AL293" s="28"/>
    </row>
    <row r="294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  <c r="AJ294" s="28"/>
      <c r="AK294" s="28"/>
      <c r="AL294" s="28"/>
    </row>
    <row r="295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  <c r="AJ295" s="28"/>
      <c r="AK295" s="28"/>
      <c r="AL295" s="28"/>
    </row>
    <row r="296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  <c r="AJ296" s="28"/>
      <c r="AK296" s="28"/>
      <c r="AL296" s="28"/>
    </row>
    <row r="297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  <c r="AJ297" s="28"/>
      <c r="AK297" s="28"/>
      <c r="AL297" s="28"/>
    </row>
    <row r="298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  <c r="AJ298" s="28"/>
      <c r="AK298" s="28"/>
      <c r="AL298" s="28"/>
    </row>
    <row r="299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  <c r="AJ299" s="28"/>
      <c r="AK299" s="28"/>
      <c r="AL299" s="28"/>
    </row>
    <row r="300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  <c r="AJ300" s="28"/>
      <c r="AK300" s="28"/>
      <c r="AL300" s="28"/>
    </row>
    <row r="30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28"/>
      <c r="AJ301" s="28"/>
      <c r="AK301" s="28"/>
      <c r="AL301" s="28"/>
    </row>
    <row r="302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  <c r="AJ302" s="28"/>
      <c r="AK302" s="28"/>
      <c r="AL302" s="28"/>
    </row>
    <row r="303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28"/>
      <c r="AJ303" s="28"/>
      <c r="AK303" s="28"/>
      <c r="AL303" s="28"/>
    </row>
    <row r="304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  <c r="AI304" s="28"/>
      <c r="AJ304" s="28"/>
      <c r="AK304" s="28"/>
      <c r="AL304" s="28"/>
    </row>
    <row r="305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28"/>
      <c r="AJ305" s="28"/>
      <c r="AK305" s="28"/>
      <c r="AL305" s="28"/>
    </row>
    <row r="306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  <c r="AL306" s="28"/>
    </row>
    <row r="307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  <c r="AJ307" s="28"/>
      <c r="AK307" s="28"/>
      <c r="AL307" s="28"/>
    </row>
    <row r="308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  <c r="AI308" s="28"/>
      <c r="AJ308" s="28"/>
      <c r="AK308" s="28"/>
      <c r="AL308" s="28"/>
    </row>
    <row r="309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  <c r="AJ309" s="28"/>
      <c r="AK309" s="28"/>
      <c r="AL309" s="28"/>
    </row>
    <row r="310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28"/>
      <c r="AJ310" s="28"/>
      <c r="AK310" s="28"/>
      <c r="AL310" s="28"/>
    </row>
    <row r="31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  <c r="AJ311" s="28"/>
      <c r="AK311" s="28"/>
      <c r="AL311" s="28"/>
    </row>
    <row r="312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28"/>
      <c r="AJ312" s="28"/>
      <c r="AK312" s="28"/>
      <c r="AL312" s="28"/>
    </row>
    <row r="313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  <c r="AJ313" s="28"/>
      <c r="AK313" s="28"/>
      <c r="AL313" s="28"/>
    </row>
    <row r="314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  <c r="AJ314" s="28"/>
      <c r="AK314" s="28"/>
      <c r="AL314" s="28"/>
    </row>
    <row r="315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  <c r="AJ315" s="28"/>
      <c r="AK315" s="28"/>
      <c r="AL315" s="28"/>
    </row>
    <row r="316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  <c r="AJ316" s="28"/>
      <c r="AK316" s="28"/>
      <c r="AL316" s="28"/>
    </row>
    <row r="317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  <c r="AK317" s="28"/>
      <c r="AL317" s="28"/>
    </row>
    <row r="318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  <c r="AJ318" s="28"/>
      <c r="AK318" s="28"/>
      <c r="AL318" s="28"/>
    </row>
    <row r="319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  <c r="AJ319" s="28"/>
      <c r="AK319" s="28"/>
      <c r="AL319" s="28"/>
    </row>
    <row r="320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  <c r="AJ320" s="28"/>
      <c r="AK320" s="28"/>
      <c r="AL320" s="28"/>
    </row>
    <row r="32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  <c r="AJ321" s="28"/>
      <c r="AK321" s="28"/>
      <c r="AL321" s="28"/>
    </row>
    <row r="322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 s="28"/>
      <c r="AJ322" s="28"/>
      <c r="AK322" s="28"/>
      <c r="AL322" s="28"/>
    </row>
    <row r="323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  <c r="AJ323" s="28"/>
      <c r="AK323" s="28"/>
      <c r="AL323" s="28"/>
    </row>
    <row r="324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28"/>
      <c r="AJ324" s="28"/>
      <c r="AK324" s="28"/>
      <c r="AL324" s="28"/>
    </row>
    <row r="325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  <c r="AJ325" s="28"/>
      <c r="AK325" s="28"/>
      <c r="AL325" s="28"/>
    </row>
    <row r="326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28"/>
      <c r="AJ326" s="28"/>
      <c r="AK326" s="28"/>
      <c r="AL326" s="28"/>
    </row>
    <row r="327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28"/>
      <c r="AJ327" s="28"/>
      <c r="AK327" s="28"/>
      <c r="AL327" s="28"/>
    </row>
    <row r="328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28"/>
      <c r="AJ328" s="28"/>
      <c r="AK328" s="28"/>
      <c r="AL328" s="28"/>
    </row>
    <row r="329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  <c r="AJ329" s="28"/>
      <c r="AK329" s="28"/>
      <c r="AL329" s="28"/>
    </row>
    <row r="330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28"/>
      <c r="AJ330" s="28"/>
      <c r="AK330" s="28"/>
      <c r="AL330" s="28"/>
    </row>
    <row r="33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  <c r="AJ331" s="28"/>
      <c r="AK331" s="28"/>
      <c r="AL331" s="28"/>
    </row>
    <row r="332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28"/>
      <c r="AJ332" s="28"/>
      <c r="AK332" s="28"/>
      <c r="AL332" s="28"/>
    </row>
    <row r="333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  <c r="AJ333" s="28"/>
      <c r="AK333" s="28"/>
      <c r="AL333" s="28"/>
    </row>
    <row r="334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28"/>
      <c r="AJ334" s="28"/>
      <c r="AK334" s="28"/>
      <c r="AL334" s="28"/>
    </row>
    <row r="335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  <c r="AJ335" s="28"/>
      <c r="AK335" s="28"/>
      <c r="AL335" s="28"/>
    </row>
    <row r="336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28"/>
      <c r="AJ336" s="28"/>
      <c r="AK336" s="28"/>
      <c r="AL336" s="28"/>
    </row>
    <row r="337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28"/>
      <c r="AJ337" s="28"/>
      <c r="AK337" s="28"/>
      <c r="AL337" s="28"/>
    </row>
    <row r="338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28"/>
      <c r="AJ338" s="28"/>
      <c r="AK338" s="28"/>
      <c r="AL338" s="28"/>
    </row>
    <row r="339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28"/>
      <c r="AJ339" s="28"/>
      <c r="AK339" s="28"/>
      <c r="AL339" s="28"/>
    </row>
    <row r="340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28"/>
      <c r="AJ340" s="28"/>
      <c r="AK340" s="28"/>
      <c r="AL340" s="28"/>
    </row>
    <row r="34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28"/>
      <c r="AJ341" s="28"/>
      <c r="AK341" s="28"/>
      <c r="AL341" s="28"/>
    </row>
    <row r="342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28"/>
      <c r="AJ342" s="28"/>
      <c r="AK342" s="28"/>
      <c r="AL342" s="28"/>
    </row>
    <row r="343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</row>
    <row r="344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28"/>
      <c r="AJ344" s="28"/>
      <c r="AK344" s="28"/>
      <c r="AL344" s="28"/>
    </row>
    <row r="345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28"/>
      <c r="AJ345" s="28"/>
      <c r="AK345" s="28"/>
      <c r="AL345" s="28"/>
    </row>
    <row r="346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</row>
    <row r="347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  <c r="AJ347" s="28"/>
      <c r="AK347" s="28"/>
      <c r="AL347" s="28"/>
    </row>
    <row r="348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28"/>
      <c r="AJ348" s="28"/>
      <c r="AK348" s="28"/>
      <c r="AL348" s="28"/>
    </row>
    <row r="349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  <c r="AJ349" s="28"/>
      <c r="AK349" s="28"/>
      <c r="AL349" s="28"/>
    </row>
    <row r="350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 s="28"/>
      <c r="AJ350" s="28"/>
      <c r="AK350" s="28"/>
      <c r="AL350" s="28"/>
    </row>
    <row r="35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28"/>
      <c r="AJ351" s="28"/>
      <c r="AK351" s="28"/>
      <c r="AL351" s="28"/>
    </row>
    <row r="352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28"/>
      <c r="AJ352" s="28"/>
      <c r="AK352" s="28"/>
      <c r="AL352" s="28"/>
    </row>
    <row r="353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  <c r="AJ353" s="28"/>
      <c r="AK353" s="28"/>
      <c r="AL353" s="28"/>
    </row>
    <row r="354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28"/>
      <c r="AJ354" s="28"/>
      <c r="AK354" s="28"/>
      <c r="AL354" s="28"/>
    </row>
    <row r="355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  <c r="AJ355" s="28"/>
      <c r="AK355" s="28"/>
      <c r="AL355" s="28"/>
    </row>
    <row r="356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8"/>
      <c r="AJ356" s="28"/>
      <c r="AK356" s="28"/>
      <c r="AL356" s="28"/>
    </row>
    <row r="357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  <c r="AJ357" s="28"/>
      <c r="AK357" s="28"/>
      <c r="AL357" s="28"/>
    </row>
    <row r="358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  <c r="AJ358" s="28"/>
      <c r="AK358" s="28"/>
      <c r="AL358" s="28"/>
    </row>
    <row r="359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  <c r="AJ359" s="28"/>
      <c r="AK359" s="28"/>
      <c r="AL359" s="28"/>
    </row>
    <row r="360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/>
      <c r="AJ360" s="28"/>
      <c r="AK360" s="28"/>
      <c r="AL360" s="28"/>
    </row>
    <row r="36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  <c r="AJ361" s="28"/>
      <c r="AK361" s="28"/>
      <c r="AL361" s="28"/>
    </row>
    <row r="362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28"/>
      <c r="AJ362" s="28"/>
      <c r="AK362" s="28"/>
      <c r="AL362" s="28"/>
    </row>
    <row r="363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  <c r="AJ363" s="28"/>
      <c r="AK363" s="28"/>
      <c r="AL363" s="28"/>
    </row>
    <row r="364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28"/>
      <c r="AJ364" s="28"/>
      <c r="AK364" s="28"/>
      <c r="AL364" s="28"/>
    </row>
    <row r="365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  <c r="AJ365" s="28"/>
      <c r="AK365" s="28"/>
      <c r="AL365" s="28"/>
    </row>
    <row r="366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28"/>
      <c r="AJ366" s="28"/>
      <c r="AK366" s="28"/>
      <c r="AL366" s="28"/>
    </row>
    <row r="367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  <c r="AJ367" s="28"/>
      <c r="AK367" s="28"/>
      <c r="AL367" s="28"/>
    </row>
    <row r="368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  <c r="AK368" s="28"/>
      <c r="AL368" s="28"/>
    </row>
    <row r="369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  <c r="AK369" s="28"/>
      <c r="AL369" s="28"/>
    </row>
    <row r="370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  <c r="AL370" s="28"/>
    </row>
    <row r="37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  <c r="AK371" s="28"/>
      <c r="AL371" s="28"/>
    </row>
    <row r="372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  <c r="AJ372" s="28"/>
      <c r="AK372" s="28"/>
      <c r="AL372" s="28"/>
    </row>
    <row r="373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  <c r="AK373" s="28"/>
      <c r="AL373" s="28"/>
    </row>
    <row r="374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28"/>
      <c r="AK374" s="28"/>
      <c r="AL374" s="28"/>
    </row>
    <row r="375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28"/>
      <c r="AK375" s="28"/>
      <c r="AL375" s="28"/>
    </row>
    <row r="376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  <c r="AJ376" s="28"/>
      <c r="AK376" s="28"/>
      <c r="AL376" s="28"/>
    </row>
    <row r="377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28"/>
      <c r="AL377" s="28"/>
    </row>
    <row r="378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28"/>
      <c r="AL378" s="28"/>
    </row>
    <row r="379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28"/>
      <c r="AL379" s="28"/>
    </row>
    <row r="380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28"/>
      <c r="AL380" s="28"/>
    </row>
    <row r="38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28"/>
      <c r="AL381" s="28"/>
    </row>
    <row r="382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28"/>
      <c r="AL382" s="28"/>
    </row>
    <row r="383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</row>
    <row r="384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28"/>
      <c r="AL384" s="28"/>
    </row>
    <row r="385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28"/>
      <c r="AL385" s="28"/>
    </row>
    <row r="386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28"/>
      <c r="AL386" s="28"/>
    </row>
    <row r="387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28"/>
      <c r="AL387" s="28"/>
    </row>
    <row r="388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28"/>
      <c r="AL388" s="28"/>
    </row>
    <row r="389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28"/>
      <c r="AL389" s="28"/>
    </row>
    <row r="390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28"/>
      <c r="AL390" s="28"/>
    </row>
    <row r="39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28"/>
      <c r="AL391" s="28"/>
    </row>
    <row r="392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</row>
    <row r="393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28"/>
      <c r="AL393" s="28"/>
    </row>
    <row r="394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28"/>
      <c r="AL394" s="28"/>
    </row>
    <row r="395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28"/>
      <c r="AL395" s="28"/>
    </row>
    <row r="396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</row>
    <row r="397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28"/>
      <c r="AL397" s="28"/>
    </row>
    <row r="398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28"/>
      <c r="AL398" s="28"/>
    </row>
    <row r="399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28"/>
      <c r="AL399" s="28"/>
    </row>
    <row r="400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28"/>
      <c r="AL400" s="28"/>
    </row>
    <row r="40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28"/>
      <c r="AL401" s="28"/>
    </row>
    <row r="402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28"/>
      <c r="AL402" s="28"/>
    </row>
    <row r="403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28"/>
      <c r="AL403" s="28"/>
    </row>
    <row r="404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28"/>
      <c r="AL404" s="28"/>
    </row>
    <row r="405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28"/>
      <c r="AL405" s="28"/>
    </row>
    <row r="406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28"/>
      <c r="AL406" s="28"/>
    </row>
    <row r="407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28"/>
      <c r="AL407" s="28"/>
    </row>
    <row r="408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28"/>
      <c r="AL408" s="28"/>
    </row>
    <row r="409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28"/>
      <c r="AL409" s="28"/>
    </row>
    <row r="410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28"/>
      <c r="AL410" s="28"/>
    </row>
    <row r="41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28"/>
      <c r="AL411" s="28"/>
    </row>
    <row r="412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28"/>
      <c r="AL412" s="28"/>
    </row>
    <row r="413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28"/>
      <c r="AL413" s="28"/>
    </row>
    <row r="414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28"/>
      <c r="AL414" s="28"/>
    </row>
    <row r="415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28"/>
      <c r="AL415" s="28"/>
    </row>
    <row r="416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28"/>
      <c r="AL416" s="28"/>
    </row>
    <row r="417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28"/>
      <c r="AL417" s="28"/>
    </row>
    <row r="418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28"/>
      <c r="AL418" s="28"/>
    </row>
    <row r="419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28"/>
      <c r="AL419" s="28"/>
    </row>
    <row r="420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28"/>
      <c r="AL420" s="28"/>
    </row>
    <row r="42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28"/>
      <c r="AL421" s="28"/>
    </row>
    <row r="422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28"/>
      <c r="AL422" s="28"/>
    </row>
    <row r="423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28"/>
      <c r="AL423" s="28"/>
    </row>
    <row r="424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28"/>
      <c r="AL424" s="28"/>
    </row>
    <row r="425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28"/>
      <c r="AL425" s="28"/>
    </row>
    <row r="426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</row>
    <row r="427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28"/>
      <c r="AL427" s="28"/>
    </row>
    <row r="428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28"/>
      <c r="AL428" s="28"/>
    </row>
    <row r="429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28"/>
      <c r="AL429" s="28"/>
    </row>
    <row r="430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28"/>
      <c r="AL430" s="28"/>
    </row>
    <row r="43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28"/>
      <c r="AL431" s="28"/>
    </row>
    <row r="432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28"/>
      <c r="AL432" s="28"/>
    </row>
    <row r="433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28"/>
      <c r="AL433" s="28"/>
    </row>
    <row r="434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28"/>
      <c r="AL434" s="28"/>
    </row>
    <row r="435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28"/>
      <c r="AL435" s="28"/>
    </row>
    <row r="436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28"/>
      <c r="AL436" s="28"/>
    </row>
    <row r="437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28"/>
      <c r="AL437" s="28"/>
    </row>
    <row r="438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28"/>
      <c r="AL438" s="28"/>
    </row>
    <row r="439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28"/>
      <c r="AL439" s="28"/>
    </row>
    <row r="440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28"/>
      <c r="AL440" s="28"/>
    </row>
    <row r="44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28"/>
      <c r="AL441" s="28"/>
    </row>
    <row r="442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28"/>
      <c r="AL442" s="28"/>
    </row>
    <row r="443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28"/>
      <c r="AL443" s="28"/>
    </row>
    <row r="444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28"/>
      <c r="AL444" s="28"/>
    </row>
    <row r="445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28"/>
      <c r="AL445" s="28"/>
    </row>
    <row r="446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28"/>
      <c r="AL446" s="28"/>
    </row>
    <row r="447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28"/>
      <c r="AL447" s="28"/>
    </row>
    <row r="448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28"/>
      <c r="AL448" s="28"/>
    </row>
    <row r="449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28"/>
      <c r="AL449" s="28"/>
    </row>
    <row r="450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28"/>
      <c r="AL450" s="28"/>
    </row>
    <row r="45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28"/>
      <c r="AL451" s="28"/>
    </row>
    <row r="452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28"/>
      <c r="AL452" s="28"/>
    </row>
    <row r="453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28"/>
      <c r="AL453" s="28"/>
    </row>
    <row r="454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28"/>
      <c r="AL454" s="28"/>
    </row>
    <row r="455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28"/>
      <c r="AL455" s="28"/>
    </row>
    <row r="456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28"/>
      <c r="AL456" s="28"/>
    </row>
    <row r="457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28"/>
      <c r="AL457" s="28"/>
    </row>
    <row r="458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28"/>
      <c r="AL458" s="28"/>
    </row>
    <row r="459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28"/>
      <c r="AL459" s="28"/>
    </row>
    <row r="460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28"/>
      <c r="AL460" s="28"/>
    </row>
    <row r="46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28"/>
      <c r="AL461" s="28"/>
    </row>
    <row r="462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28"/>
      <c r="AL462" s="28"/>
    </row>
    <row r="463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28"/>
      <c r="AL463" s="28"/>
    </row>
    <row r="464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28"/>
      <c r="AL464" s="28"/>
    </row>
    <row r="465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28"/>
      <c r="AL465" s="28"/>
    </row>
    <row r="466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28"/>
      <c r="AL466" s="28"/>
    </row>
    <row r="467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28"/>
      <c r="AL467" s="28"/>
    </row>
    <row r="468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28"/>
      <c r="AL468" s="28"/>
    </row>
    <row r="469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28"/>
      <c r="AL469" s="28"/>
    </row>
    <row r="470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28"/>
      <c r="AL470" s="28"/>
    </row>
    <row r="47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28"/>
      <c r="AL471" s="28"/>
    </row>
    <row r="472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28"/>
      <c r="AL472" s="28"/>
    </row>
    <row r="473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28"/>
      <c r="AL473" s="28"/>
    </row>
    <row r="474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28"/>
      <c r="AL474" s="28"/>
    </row>
    <row r="475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28"/>
      <c r="AL475" s="28"/>
    </row>
    <row r="476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28"/>
      <c r="AL476" s="28"/>
    </row>
    <row r="477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28"/>
      <c r="AL477" s="28"/>
    </row>
    <row r="478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28"/>
      <c r="AL478" s="28"/>
    </row>
    <row r="479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28"/>
      <c r="AL479" s="28"/>
    </row>
    <row r="480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28"/>
      <c r="AL480" s="28"/>
    </row>
    <row r="48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28"/>
      <c r="AL481" s="28"/>
    </row>
    <row r="482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28"/>
      <c r="AL482" s="28"/>
    </row>
    <row r="483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28"/>
      <c r="AL483" s="28"/>
    </row>
    <row r="484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28"/>
      <c r="AL484" s="28"/>
    </row>
    <row r="485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28"/>
      <c r="AL485" s="28"/>
    </row>
    <row r="486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28"/>
      <c r="AL486" s="28"/>
    </row>
    <row r="487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28"/>
      <c r="AL487" s="28"/>
    </row>
    <row r="488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28"/>
      <c r="AL488" s="28"/>
    </row>
    <row r="489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28"/>
      <c r="AL489" s="28"/>
    </row>
    <row r="490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28"/>
      <c r="AL490" s="28"/>
    </row>
    <row r="49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28"/>
      <c r="AL491" s="28"/>
    </row>
    <row r="492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28"/>
      <c r="AL492" s="28"/>
    </row>
    <row r="493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28"/>
      <c r="AL493" s="28"/>
    </row>
    <row r="494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28"/>
      <c r="AL494" s="28"/>
    </row>
    <row r="495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28"/>
      <c r="AL495" s="28"/>
    </row>
    <row r="496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28"/>
      <c r="AL496" s="28"/>
    </row>
    <row r="497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28"/>
      <c r="AL497" s="28"/>
    </row>
    <row r="498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28"/>
      <c r="AL498" s="28"/>
    </row>
    <row r="499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28"/>
      <c r="AL499" s="28"/>
    </row>
    <row r="500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28"/>
      <c r="AL500" s="28"/>
    </row>
    <row r="50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28"/>
      <c r="AL501" s="28"/>
    </row>
    <row r="502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28"/>
      <c r="AL502" s="28"/>
    </row>
    <row r="503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28"/>
      <c r="AL503" s="28"/>
    </row>
    <row r="504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28"/>
      <c r="AL504" s="28"/>
    </row>
    <row r="505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28"/>
      <c r="AL505" s="28"/>
    </row>
    <row r="506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28"/>
      <c r="AL506" s="28"/>
    </row>
    <row r="507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28"/>
      <c r="AL507" s="28"/>
    </row>
    <row r="508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28"/>
      <c r="AL508" s="28"/>
    </row>
    <row r="509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28"/>
      <c r="AL509" s="28"/>
    </row>
    <row r="510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28"/>
      <c r="AL510" s="28"/>
    </row>
    <row r="51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28"/>
      <c r="AL511" s="28"/>
    </row>
    <row r="512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28"/>
      <c r="AL512" s="28"/>
    </row>
    <row r="513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28"/>
      <c r="AL513" s="28"/>
    </row>
    <row r="514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28"/>
      <c r="AL514" s="28"/>
    </row>
    <row r="515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28"/>
      <c r="AL515" s="28"/>
    </row>
    <row r="516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28"/>
      <c r="AL516" s="28"/>
    </row>
    <row r="517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28"/>
      <c r="AL517" s="28"/>
    </row>
    <row r="518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28"/>
      <c r="AL518" s="28"/>
    </row>
    <row r="519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28"/>
      <c r="AL519" s="28"/>
    </row>
    <row r="520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28"/>
      <c r="AL520" s="28"/>
    </row>
    <row r="52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28"/>
      <c r="AL521" s="28"/>
    </row>
    <row r="522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28"/>
      <c r="AL522" s="28"/>
    </row>
    <row r="523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28"/>
      <c r="AL523" s="28"/>
    </row>
    <row r="524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28"/>
      <c r="AL524" s="28"/>
    </row>
    <row r="525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28"/>
      <c r="AL525" s="28"/>
    </row>
    <row r="526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28"/>
      <c r="AL526" s="28"/>
    </row>
    <row r="527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28"/>
      <c r="AL527" s="28"/>
    </row>
    <row r="528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28"/>
      <c r="AL528" s="28"/>
    </row>
    <row r="529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28"/>
      <c r="AL529" s="28"/>
    </row>
    <row r="530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28"/>
      <c r="AL530" s="28"/>
    </row>
    <row r="53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28"/>
      <c r="AL531" s="28"/>
    </row>
    <row r="532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28"/>
      <c r="AL532" s="28"/>
    </row>
    <row r="533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28"/>
      <c r="AL533" s="28"/>
    </row>
    <row r="534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28"/>
      <c r="AL534" s="28"/>
    </row>
    <row r="535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28"/>
      <c r="AL535" s="28"/>
    </row>
    <row r="536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28"/>
      <c r="AL536" s="28"/>
    </row>
    <row r="537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28"/>
      <c r="AL537" s="28"/>
    </row>
    <row r="538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28"/>
      <c r="AL538" s="28"/>
    </row>
    <row r="539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28"/>
      <c r="AL539" s="28"/>
    </row>
    <row r="540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28"/>
      <c r="AL540" s="28"/>
    </row>
    <row r="54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28"/>
      <c r="AL541" s="28"/>
    </row>
    <row r="542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28"/>
      <c r="AL542" s="28"/>
    </row>
    <row r="543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28"/>
      <c r="AL543" s="28"/>
    </row>
    <row r="544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28"/>
      <c r="AL544" s="28"/>
    </row>
    <row r="54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28"/>
      <c r="AL545" s="28"/>
    </row>
    <row r="546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28"/>
      <c r="AL546" s="28"/>
    </row>
    <row r="547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28"/>
      <c r="AL547" s="28"/>
    </row>
    <row r="548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28"/>
      <c r="AL548" s="28"/>
    </row>
    <row r="549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28"/>
      <c r="AL549" s="28"/>
    </row>
    <row r="550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28"/>
      <c r="AL550" s="28"/>
    </row>
    <row r="55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28"/>
      <c r="AL551" s="28"/>
    </row>
    <row r="552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28"/>
      <c r="AL552" s="28"/>
    </row>
    <row r="553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28"/>
      <c r="AL553" s="28"/>
    </row>
    <row r="554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28"/>
      <c r="AL554" s="28"/>
    </row>
    <row r="555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28"/>
      <c r="AL555" s="28"/>
    </row>
    <row r="556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28"/>
      <c r="AL556" s="28"/>
    </row>
    <row r="557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28"/>
      <c r="AL557" s="28"/>
    </row>
    <row r="558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28"/>
      <c r="AL558" s="28"/>
    </row>
    <row r="559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28"/>
      <c r="AL559" s="28"/>
    </row>
    <row r="560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28"/>
      <c r="AL560" s="28"/>
    </row>
    <row r="56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28"/>
      <c r="AL561" s="28"/>
    </row>
    <row r="562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28"/>
      <c r="AL562" s="28"/>
    </row>
    <row r="563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28"/>
      <c r="AL563" s="28"/>
    </row>
    <row r="564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28"/>
      <c r="AL564" s="28"/>
    </row>
    <row r="565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28"/>
      <c r="AL565" s="28"/>
    </row>
    <row r="566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28"/>
      <c r="AL566" s="28"/>
    </row>
    <row r="567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28"/>
      <c r="AL567" s="28"/>
    </row>
    <row r="568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28"/>
      <c r="AL568" s="28"/>
    </row>
    <row r="569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28"/>
      <c r="AL569" s="28"/>
    </row>
    <row r="570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28"/>
      <c r="AL570" s="28"/>
    </row>
    <row r="57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28"/>
      <c r="AL571" s="28"/>
    </row>
    <row r="572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28"/>
      <c r="AL572" s="28"/>
    </row>
    <row r="573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28"/>
      <c r="AL573" s="28"/>
    </row>
    <row r="574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28"/>
      <c r="AL574" s="28"/>
    </row>
    <row r="575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28"/>
      <c r="AL575" s="28"/>
    </row>
    <row r="576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28"/>
      <c r="AL576" s="28"/>
    </row>
    <row r="577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28"/>
      <c r="AL577" s="28"/>
    </row>
    <row r="578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28"/>
      <c r="AL578" s="28"/>
    </row>
    <row r="579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28"/>
      <c r="AL579" s="28"/>
    </row>
    <row r="580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28"/>
      <c r="AL580" s="28"/>
    </row>
    <row r="58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28"/>
      <c r="AL581" s="28"/>
    </row>
    <row r="582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28"/>
      <c r="AL582" s="28"/>
    </row>
    <row r="583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28"/>
      <c r="AL583" s="28"/>
    </row>
    <row r="584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28"/>
      <c r="AL584" s="28"/>
    </row>
    <row r="585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28"/>
      <c r="AL585" s="28"/>
    </row>
    <row r="586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28"/>
      <c r="AL586" s="28"/>
    </row>
    <row r="587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28"/>
      <c r="AL587" s="28"/>
    </row>
    <row r="588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28"/>
      <c r="AL588" s="28"/>
    </row>
    <row r="589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28"/>
      <c r="AL589" s="28"/>
    </row>
    <row r="590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28"/>
      <c r="AL590" s="28"/>
    </row>
    <row r="59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28"/>
      <c r="AL591" s="28"/>
    </row>
    <row r="592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28"/>
      <c r="AL592" s="28"/>
    </row>
    <row r="593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28"/>
      <c r="AL593" s="28"/>
    </row>
    <row r="594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28"/>
      <c r="AL594" s="28"/>
    </row>
    <row r="595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28"/>
      <c r="AL595" s="28"/>
    </row>
    <row r="596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28"/>
      <c r="AL596" s="28"/>
    </row>
    <row r="597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28"/>
      <c r="AL597" s="28"/>
    </row>
    <row r="598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28"/>
      <c r="AL598" s="28"/>
    </row>
    <row r="599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28"/>
      <c r="AL599" s="28"/>
    </row>
    <row r="600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28"/>
      <c r="AL600" s="28"/>
    </row>
    <row r="60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28"/>
      <c r="AL601" s="28"/>
    </row>
    <row r="602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28"/>
      <c r="AL602" s="28"/>
    </row>
    <row r="603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28"/>
      <c r="AL603" s="28"/>
    </row>
    <row r="604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28"/>
      <c r="AL604" s="28"/>
    </row>
    <row r="605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28"/>
      <c r="AL605" s="28"/>
    </row>
    <row r="606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28"/>
      <c r="AL606" s="28"/>
    </row>
    <row r="607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28"/>
      <c r="AL607" s="28"/>
    </row>
    <row r="608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28"/>
      <c r="AL608" s="28"/>
    </row>
    <row r="609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28"/>
      <c r="AL609" s="28"/>
    </row>
    <row r="610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28"/>
      <c r="AL610" s="28"/>
    </row>
    <row r="61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28"/>
      <c r="AL611" s="28"/>
    </row>
    <row r="612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28"/>
      <c r="AL612" s="28"/>
    </row>
    <row r="613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28"/>
      <c r="AL613" s="28"/>
    </row>
    <row r="614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28"/>
      <c r="AL614" s="28"/>
    </row>
    <row r="615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28"/>
      <c r="AL615" s="28"/>
    </row>
    <row r="616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28"/>
      <c r="AL616" s="28"/>
    </row>
    <row r="617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28"/>
      <c r="AL617" s="28"/>
    </row>
    <row r="618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28"/>
      <c r="AL618" s="28"/>
    </row>
    <row r="619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28"/>
      <c r="AL619" s="28"/>
    </row>
    <row r="620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28"/>
      <c r="AL620" s="28"/>
    </row>
    <row r="62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28"/>
      <c r="AL621" s="28"/>
    </row>
    <row r="622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28"/>
      <c r="AL622" s="28"/>
    </row>
    <row r="623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28"/>
      <c r="AL623" s="28"/>
    </row>
    <row r="624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28"/>
      <c r="AL624" s="28"/>
    </row>
    <row r="625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28"/>
      <c r="AL625" s="28"/>
    </row>
    <row r="626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28"/>
      <c r="AL626" s="28"/>
    </row>
    <row r="627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28"/>
      <c r="AL627" s="28"/>
    </row>
    <row r="628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28"/>
      <c r="AL628" s="28"/>
    </row>
    <row r="629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28"/>
      <c r="AL629" s="28"/>
    </row>
    <row r="630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28"/>
      <c r="AL630" s="28"/>
    </row>
    <row r="63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28"/>
      <c r="AL631" s="28"/>
    </row>
    <row r="632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28"/>
      <c r="AL632" s="28"/>
    </row>
    <row r="633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28"/>
      <c r="AL633" s="28"/>
    </row>
    <row r="634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28"/>
      <c r="AL634" s="28"/>
    </row>
    <row r="635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28"/>
      <c r="AL635" s="28"/>
    </row>
    <row r="636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28"/>
      <c r="AL636" s="28"/>
    </row>
    <row r="637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28"/>
      <c r="AL637" s="28"/>
    </row>
    <row r="638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28"/>
      <c r="AL638" s="28"/>
    </row>
    <row r="639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28"/>
      <c r="AL639" s="28"/>
    </row>
    <row r="640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28"/>
      <c r="AL640" s="28"/>
    </row>
    <row r="64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28"/>
      <c r="AL641" s="28"/>
    </row>
    <row r="642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28"/>
      <c r="AL642" s="28"/>
    </row>
    <row r="643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28"/>
      <c r="AL643" s="28"/>
    </row>
    <row r="644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28"/>
      <c r="AL644" s="28"/>
    </row>
    <row r="645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28"/>
      <c r="AL645" s="28"/>
    </row>
    <row r="646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28"/>
      <c r="AL646" s="28"/>
    </row>
    <row r="647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28"/>
      <c r="AL647" s="28"/>
    </row>
    <row r="648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28"/>
      <c r="AL648" s="28"/>
    </row>
    <row r="649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28"/>
      <c r="AL649" s="28"/>
    </row>
    <row r="650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28"/>
      <c r="AL650" s="28"/>
    </row>
    <row r="65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28"/>
      <c r="AL651" s="28"/>
    </row>
    <row r="652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28"/>
      <c r="AL652" s="28"/>
    </row>
    <row r="653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28"/>
      <c r="AL653" s="28"/>
    </row>
    <row r="654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28"/>
      <c r="AL654" s="28"/>
    </row>
    <row r="655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28"/>
      <c r="AL655" s="28"/>
    </row>
    <row r="656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28"/>
      <c r="AL656" s="28"/>
    </row>
    <row r="657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28"/>
      <c r="AL657" s="28"/>
    </row>
    <row r="658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28"/>
      <c r="AL658" s="28"/>
    </row>
    <row r="659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28"/>
      <c r="AL659" s="28"/>
    </row>
    <row r="660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28"/>
      <c r="AL660" s="28"/>
    </row>
    <row r="66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28"/>
      <c r="AL661" s="28"/>
    </row>
    <row r="662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28"/>
      <c r="AL662" s="28"/>
    </row>
    <row r="663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28"/>
      <c r="AL663" s="28"/>
    </row>
    <row r="664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28"/>
      <c r="AL664" s="28"/>
    </row>
    <row r="665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28"/>
      <c r="AL665" s="28"/>
    </row>
    <row r="666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28"/>
      <c r="AL666" s="28"/>
    </row>
    <row r="667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28"/>
      <c r="AL667" s="28"/>
    </row>
    <row r="668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28"/>
      <c r="AL668" s="28"/>
    </row>
    <row r="669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28"/>
      <c r="AL669" s="28"/>
    </row>
    <row r="670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28"/>
      <c r="AL670" s="28"/>
    </row>
    <row r="67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28"/>
      <c r="AL671" s="28"/>
    </row>
    <row r="672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  <c r="AI672" s="28"/>
      <c r="AJ672" s="28"/>
      <c r="AK672" s="28"/>
      <c r="AL672" s="28"/>
    </row>
    <row r="673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  <c r="AI673" s="28"/>
      <c r="AJ673" s="28"/>
      <c r="AK673" s="28"/>
      <c r="AL673" s="28"/>
    </row>
    <row r="674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  <c r="AH674" s="28"/>
      <c r="AI674" s="28"/>
      <c r="AJ674" s="28"/>
      <c r="AK674" s="28"/>
      <c r="AL674" s="28"/>
    </row>
    <row r="675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  <c r="AI675" s="28"/>
      <c r="AJ675" s="28"/>
      <c r="AK675" s="28"/>
      <c r="AL675" s="28"/>
    </row>
    <row r="676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  <c r="AI676" s="28"/>
      <c r="AJ676" s="28"/>
      <c r="AK676" s="28"/>
      <c r="AL676" s="28"/>
    </row>
    <row r="677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  <c r="AI677" s="28"/>
      <c r="AJ677" s="28"/>
      <c r="AK677" s="28"/>
      <c r="AL677" s="28"/>
    </row>
    <row r="678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  <c r="AH678" s="28"/>
      <c r="AI678" s="28"/>
      <c r="AJ678" s="28"/>
      <c r="AK678" s="28"/>
      <c r="AL678" s="28"/>
    </row>
    <row r="679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  <c r="AI679" s="28"/>
      <c r="AJ679" s="28"/>
      <c r="AK679" s="28"/>
      <c r="AL679" s="28"/>
    </row>
    <row r="680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  <c r="AI680" s="28"/>
      <c r="AJ680" s="28"/>
      <c r="AK680" s="28"/>
      <c r="AL680" s="28"/>
    </row>
    <row r="68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  <c r="AI681" s="28"/>
      <c r="AJ681" s="28"/>
      <c r="AK681" s="28"/>
      <c r="AL681" s="28"/>
    </row>
    <row r="682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  <c r="AI682" s="28"/>
      <c r="AJ682" s="28"/>
      <c r="AK682" s="28"/>
      <c r="AL682" s="28"/>
    </row>
    <row r="683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  <c r="AI683" s="28"/>
      <c r="AJ683" s="28"/>
      <c r="AK683" s="28"/>
      <c r="AL683" s="28"/>
    </row>
    <row r="684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  <c r="AH684" s="28"/>
      <c r="AI684" s="28"/>
      <c r="AJ684" s="28"/>
      <c r="AK684" s="28"/>
      <c r="AL684" s="28"/>
    </row>
    <row r="685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  <c r="AI685" s="28"/>
      <c r="AJ685" s="28"/>
      <c r="AK685" s="28"/>
      <c r="AL685" s="28"/>
    </row>
    <row r="686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  <c r="AI686" s="28"/>
      <c r="AJ686" s="28"/>
      <c r="AK686" s="28"/>
      <c r="AL686" s="28"/>
    </row>
    <row r="687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  <c r="AI687" s="28"/>
      <c r="AJ687" s="28"/>
      <c r="AK687" s="28"/>
      <c r="AL687" s="28"/>
    </row>
    <row r="688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  <c r="AI688" s="28"/>
      <c r="AJ688" s="28"/>
      <c r="AK688" s="28"/>
      <c r="AL688" s="28"/>
    </row>
    <row r="689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  <c r="AI689" s="28"/>
      <c r="AJ689" s="28"/>
      <c r="AK689" s="28"/>
      <c r="AL689" s="28"/>
    </row>
    <row r="690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  <c r="AH690" s="28"/>
      <c r="AI690" s="28"/>
      <c r="AJ690" s="28"/>
      <c r="AK690" s="28"/>
      <c r="AL690" s="28"/>
    </row>
    <row r="69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  <c r="AI691" s="28"/>
      <c r="AJ691" s="28"/>
      <c r="AK691" s="28"/>
      <c r="AL691" s="28"/>
    </row>
    <row r="692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  <c r="AI692" s="28"/>
      <c r="AJ692" s="28"/>
      <c r="AK692" s="28"/>
      <c r="AL692" s="28"/>
    </row>
    <row r="693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  <c r="AI693" s="28"/>
      <c r="AJ693" s="28"/>
      <c r="AK693" s="28"/>
      <c r="AL693" s="28"/>
    </row>
    <row r="694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  <c r="AI694" s="28"/>
      <c r="AJ694" s="28"/>
      <c r="AK694" s="28"/>
      <c r="AL694" s="28"/>
    </row>
    <row r="695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  <c r="AI695" s="28"/>
      <c r="AJ695" s="28"/>
      <c r="AK695" s="28"/>
      <c r="AL695" s="28"/>
    </row>
    <row r="696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  <c r="AI696" s="28"/>
      <c r="AJ696" s="28"/>
      <c r="AK696" s="28"/>
      <c r="AL696" s="28"/>
    </row>
    <row r="697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  <c r="AI697" s="28"/>
      <c r="AJ697" s="28"/>
      <c r="AK697" s="28"/>
      <c r="AL697" s="28"/>
    </row>
    <row r="698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  <c r="AH698" s="28"/>
      <c r="AI698" s="28"/>
      <c r="AJ698" s="28"/>
      <c r="AK698" s="28"/>
      <c r="AL698" s="28"/>
    </row>
    <row r="699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  <c r="AI699" s="28"/>
      <c r="AJ699" s="28"/>
      <c r="AK699" s="28"/>
      <c r="AL699" s="28"/>
    </row>
    <row r="700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  <c r="AI700" s="28"/>
      <c r="AJ700" s="28"/>
      <c r="AK700" s="28"/>
      <c r="AL700" s="28"/>
    </row>
    <row r="70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  <c r="AI701" s="28"/>
      <c r="AJ701" s="28"/>
      <c r="AK701" s="28"/>
      <c r="AL701" s="28"/>
    </row>
    <row r="702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  <c r="AI702" s="28"/>
      <c r="AJ702" s="28"/>
      <c r="AK702" s="28"/>
      <c r="AL702" s="28"/>
    </row>
    <row r="703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  <c r="AI703" s="28"/>
      <c r="AJ703" s="28"/>
      <c r="AK703" s="28"/>
      <c r="AL703" s="28"/>
    </row>
    <row r="704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  <c r="AI704" s="28"/>
      <c r="AJ704" s="28"/>
      <c r="AK704" s="28"/>
      <c r="AL704" s="28"/>
    </row>
    <row r="705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  <c r="AI705" s="28"/>
      <c r="AJ705" s="28"/>
      <c r="AK705" s="28"/>
      <c r="AL705" s="28"/>
    </row>
    <row r="706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  <c r="AI706" s="28"/>
      <c r="AJ706" s="28"/>
      <c r="AK706" s="28"/>
      <c r="AL706" s="28"/>
    </row>
    <row r="707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  <c r="AI707" s="28"/>
      <c r="AJ707" s="28"/>
      <c r="AK707" s="28"/>
      <c r="AL707" s="28"/>
    </row>
    <row r="708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  <c r="AI708" s="28"/>
      <c r="AJ708" s="28"/>
      <c r="AK708" s="28"/>
      <c r="AL708" s="28"/>
    </row>
    <row r="709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  <c r="AI709" s="28"/>
      <c r="AJ709" s="28"/>
      <c r="AK709" s="28"/>
      <c r="AL709" s="28"/>
    </row>
    <row r="710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  <c r="AI710" s="28"/>
      <c r="AJ710" s="28"/>
      <c r="AK710" s="28"/>
      <c r="AL710" s="28"/>
    </row>
    <row r="71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  <c r="AI711" s="28"/>
      <c r="AJ711" s="28"/>
      <c r="AK711" s="28"/>
      <c r="AL711" s="28"/>
    </row>
    <row r="712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  <c r="AI712" s="28"/>
      <c r="AJ712" s="28"/>
      <c r="AK712" s="28"/>
      <c r="AL712" s="28"/>
    </row>
    <row r="713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  <c r="AI713" s="28"/>
      <c r="AJ713" s="28"/>
      <c r="AK713" s="28"/>
      <c r="AL713" s="28"/>
    </row>
    <row r="714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  <c r="AI714" s="28"/>
      <c r="AJ714" s="28"/>
      <c r="AK714" s="28"/>
      <c r="AL714" s="28"/>
    </row>
    <row r="715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  <c r="AI715" s="28"/>
      <c r="AJ715" s="28"/>
      <c r="AK715" s="28"/>
      <c r="AL715" s="28"/>
    </row>
    <row r="716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  <c r="AI716" s="28"/>
      <c r="AJ716" s="28"/>
      <c r="AK716" s="28"/>
      <c r="AL716" s="28"/>
    </row>
    <row r="717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  <c r="AI717" s="28"/>
      <c r="AJ717" s="28"/>
      <c r="AK717" s="28"/>
      <c r="AL717" s="28"/>
    </row>
    <row r="718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  <c r="AI718" s="28"/>
      <c r="AJ718" s="28"/>
      <c r="AK718" s="28"/>
      <c r="AL718" s="28"/>
    </row>
    <row r="719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  <c r="AI719" s="28"/>
      <c r="AJ719" s="28"/>
      <c r="AK719" s="28"/>
      <c r="AL719" s="28"/>
    </row>
    <row r="720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  <c r="AI720" s="28"/>
      <c r="AJ720" s="28"/>
      <c r="AK720" s="28"/>
      <c r="AL720" s="28"/>
    </row>
    <row r="72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  <c r="AI721" s="28"/>
      <c r="AJ721" s="28"/>
      <c r="AK721" s="28"/>
      <c r="AL721" s="28"/>
    </row>
    <row r="722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  <c r="AI722" s="28"/>
      <c r="AJ722" s="28"/>
      <c r="AK722" s="28"/>
      <c r="AL722" s="28"/>
    </row>
    <row r="723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  <c r="AI723" s="28"/>
      <c r="AJ723" s="28"/>
      <c r="AK723" s="28"/>
      <c r="AL723" s="28"/>
    </row>
    <row r="724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  <c r="AI724" s="28"/>
      <c r="AJ724" s="28"/>
      <c r="AK724" s="28"/>
      <c r="AL724" s="28"/>
    </row>
    <row r="725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  <c r="AI725" s="28"/>
      <c r="AJ725" s="28"/>
      <c r="AK725" s="28"/>
      <c r="AL725" s="28"/>
    </row>
    <row r="726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  <c r="AH726" s="28"/>
      <c r="AI726" s="28"/>
      <c r="AJ726" s="28"/>
      <c r="AK726" s="28"/>
      <c r="AL726" s="28"/>
    </row>
    <row r="727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  <c r="AI727" s="28"/>
      <c r="AJ727" s="28"/>
      <c r="AK727" s="28"/>
      <c r="AL727" s="28"/>
    </row>
    <row r="728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  <c r="AI728" s="28"/>
      <c r="AJ728" s="28"/>
      <c r="AK728" s="28"/>
      <c r="AL728" s="28"/>
    </row>
    <row r="729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  <c r="AI729" s="28"/>
      <c r="AJ729" s="28"/>
      <c r="AK729" s="28"/>
      <c r="AL729" s="28"/>
    </row>
    <row r="730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  <c r="AI730" s="28"/>
      <c r="AJ730" s="28"/>
      <c r="AK730" s="28"/>
      <c r="AL730" s="28"/>
    </row>
    <row r="73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  <c r="AI731" s="28"/>
      <c r="AJ731" s="28"/>
      <c r="AK731" s="28"/>
      <c r="AL731" s="28"/>
    </row>
    <row r="732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  <c r="AI732" s="28"/>
      <c r="AJ732" s="28"/>
      <c r="AK732" s="28"/>
      <c r="AL732" s="28"/>
    </row>
    <row r="733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  <c r="AI733" s="28"/>
      <c r="AJ733" s="28"/>
      <c r="AK733" s="28"/>
      <c r="AL733" s="28"/>
    </row>
    <row r="734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  <c r="AI734" s="28"/>
      <c r="AJ734" s="28"/>
      <c r="AK734" s="28"/>
      <c r="AL734" s="28"/>
    </row>
    <row r="735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  <c r="AI735" s="28"/>
      <c r="AJ735" s="28"/>
      <c r="AK735" s="28"/>
      <c r="AL735" s="28"/>
    </row>
    <row r="736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  <c r="AI736" s="28"/>
      <c r="AJ736" s="28"/>
      <c r="AK736" s="28"/>
      <c r="AL736" s="28"/>
    </row>
    <row r="737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  <c r="AI737" s="28"/>
      <c r="AJ737" s="28"/>
      <c r="AK737" s="28"/>
      <c r="AL737" s="28"/>
    </row>
    <row r="738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  <c r="AI738" s="28"/>
      <c r="AJ738" s="28"/>
      <c r="AK738" s="28"/>
      <c r="AL738" s="28"/>
    </row>
    <row r="739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  <c r="AI739" s="28"/>
      <c r="AJ739" s="28"/>
      <c r="AK739" s="28"/>
      <c r="AL739" s="28"/>
    </row>
    <row r="740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  <c r="AI740" s="28"/>
      <c r="AJ740" s="28"/>
      <c r="AK740" s="28"/>
      <c r="AL740" s="28"/>
    </row>
    <row r="74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  <c r="AI741" s="28"/>
      <c r="AJ741" s="28"/>
      <c r="AK741" s="28"/>
      <c r="AL741" s="28"/>
    </row>
    <row r="742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  <c r="AI742" s="28"/>
      <c r="AJ742" s="28"/>
      <c r="AK742" s="28"/>
      <c r="AL742" s="28"/>
    </row>
    <row r="743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  <c r="AI743" s="28"/>
      <c r="AJ743" s="28"/>
      <c r="AK743" s="28"/>
      <c r="AL743" s="28"/>
    </row>
    <row r="744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  <c r="AI744" s="28"/>
      <c r="AJ744" s="28"/>
      <c r="AK744" s="28"/>
      <c r="AL744" s="28"/>
    </row>
    <row r="745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8"/>
      <c r="AJ745" s="28"/>
      <c r="AK745" s="28"/>
      <c r="AL745" s="28"/>
    </row>
    <row r="746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  <c r="AI746" s="28"/>
      <c r="AJ746" s="28"/>
      <c r="AK746" s="28"/>
      <c r="AL746" s="28"/>
    </row>
    <row r="747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8"/>
      <c r="AJ747" s="28"/>
      <c r="AK747" s="28"/>
      <c r="AL747" s="28"/>
    </row>
    <row r="748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  <c r="AI748" s="28"/>
      <c r="AJ748" s="28"/>
      <c r="AK748" s="28"/>
      <c r="AL748" s="28"/>
    </row>
    <row r="749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  <c r="AJ749" s="28"/>
      <c r="AK749" s="28"/>
      <c r="AL749" s="28"/>
    </row>
    <row r="750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  <c r="AI750" s="28"/>
      <c r="AJ750" s="28"/>
      <c r="AK750" s="28"/>
      <c r="AL750" s="28"/>
    </row>
    <row r="75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  <c r="AI751" s="28"/>
      <c r="AJ751" s="28"/>
      <c r="AK751" s="28"/>
      <c r="AL751" s="28"/>
    </row>
    <row r="752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  <c r="AH752" s="28"/>
      <c r="AI752" s="28"/>
      <c r="AJ752" s="28"/>
      <c r="AK752" s="28"/>
      <c r="AL752" s="28"/>
    </row>
    <row r="753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  <c r="AH753" s="28"/>
      <c r="AI753" s="28"/>
      <c r="AJ753" s="28"/>
      <c r="AK753" s="28"/>
      <c r="AL753" s="28"/>
    </row>
    <row r="754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  <c r="AH754" s="28"/>
      <c r="AI754" s="28"/>
      <c r="AJ754" s="28"/>
      <c r="AK754" s="28"/>
      <c r="AL754" s="28"/>
    </row>
    <row r="755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  <c r="AH755" s="28"/>
      <c r="AI755" s="28"/>
      <c r="AJ755" s="28"/>
      <c r="AK755" s="28"/>
      <c r="AL755" s="28"/>
    </row>
    <row r="756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  <c r="AH756" s="28"/>
      <c r="AI756" s="28"/>
      <c r="AJ756" s="28"/>
      <c r="AK756" s="28"/>
      <c r="AL756" s="28"/>
    </row>
    <row r="757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  <c r="AH757" s="28"/>
      <c r="AI757" s="28"/>
      <c r="AJ757" s="28"/>
      <c r="AK757" s="28"/>
      <c r="AL757" s="28"/>
    </row>
    <row r="758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  <c r="AH758" s="28"/>
      <c r="AI758" s="28"/>
      <c r="AJ758" s="28"/>
      <c r="AK758" s="28"/>
      <c r="AL758" s="28"/>
    </row>
    <row r="759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  <c r="AH759" s="28"/>
      <c r="AI759" s="28"/>
      <c r="AJ759" s="28"/>
      <c r="AK759" s="28"/>
      <c r="AL759" s="28"/>
    </row>
    <row r="760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  <c r="AH760" s="28"/>
      <c r="AI760" s="28"/>
      <c r="AJ760" s="28"/>
      <c r="AK760" s="28"/>
      <c r="AL760" s="28"/>
    </row>
    <row r="76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  <c r="AH761" s="28"/>
      <c r="AI761" s="28"/>
      <c r="AJ761" s="28"/>
      <c r="AK761" s="28"/>
      <c r="AL761" s="28"/>
    </row>
    <row r="762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  <c r="AH762" s="28"/>
      <c r="AI762" s="28"/>
      <c r="AJ762" s="28"/>
      <c r="AK762" s="28"/>
      <c r="AL762" s="28"/>
    </row>
    <row r="763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  <c r="AH763" s="28"/>
      <c r="AI763" s="28"/>
      <c r="AJ763" s="28"/>
      <c r="AK763" s="28"/>
      <c r="AL763" s="28"/>
    </row>
    <row r="764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  <c r="AH764" s="28"/>
      <c r="AI764" s="28"/>
      <c r="AJ764" s="28"/>
      <c r="AK764" s="28"/>
      <c r="AL764" s="28"/>
    </row>
    <row r="765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  <c r="AH765" s="28"/>
      <c r="AI765" s="28"/>
      <c r="AJ765" s="28"/>
      <c r="AK765" s="28"/>
      <c r="AL765" s="28"/>
    </row>
    <row r="766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  <c r="AH766" s="28"/>
      <c r="AI766" s="28"/>
      <c r="AJ766" s="28"/>
      <c r="AK766" s="28"/>
      <c r="AL766" s="28"/>
    </row>
    <row r="767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  <c r="AI767" s="28"/>
      <c r="AJ767" s="28"/>
      <c r="AK767" s="28"/>
      <c r="AL767" s="28"/>
    </row>
    <row r="768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  <c r="AH768" s="28"/>
      <c r="AI768" s="28"/>
      <c r="AJ768" s="28"/>
      <c r="AK768" s="28"/>
      <c r="AL768" s="28"/>
    </row>
    <row r="769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  <c r="AH769" s="28"/>
      <c r="AI769" s="28"/>
      <c r="AJ769" s="28"/>
      <c r="AK769" s="28"/>
      <c r="AL769" s="28"/>
    </row>
    <row r="770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  <c r="AH770" s="28"/>
      <c r="AI770" s="28"/>
      <c r="AJ770" s="28"/>
      <c r="AK770" s="28"/>
      <c r="AL770" s="28"/>
    </row>
    <row r="77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  <c r="AH771" s="28"/>
      <c r="AI771" s="28"/>
      <c r="AJ771" s="28"/>
      <c r="AK771" s="28"/>
      <c r="AL771" s="28"/>
    </row>
    <row r="772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  <c r="AH772" s="28"/>
      <c r="AI772" s="28"/>
      <c r="AJ772" s="28"/>
      <c r="AK772" s="28"/>
      <c r="AL772" s="28"/>
    </row>
    <row r="773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  <c r="AH773" s="28"/>
      <c r="AI773" s="28"/>
      <c r="AJ773" s="28"/>
      <c r="AK773" s="28"/>
      <c r="AL773" s="28"/>
    </row>
    <row r="774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  <c r="AH774" s="28"/>
      <c r="AI774" s="28"/>
      <c r="AJ774" s="28"/>
      <c r="AK774" s="28"/>
      <c r="AL774" s="28"/>
    </row>
    <row r="775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  <c r="AH775" s="28"/>
      <c r="AI775" s="28"/>
      <c r="AJ775" s="28"/>
      <c r="AK775" s="28"/>
      <c r="AL775" s="28"/>
    </row>
    <row r="776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  <c r="AH776" s="28"/>
      <c r="AI776" s="28"/>
      <c r="AJ776" s="28"/>
      <c r="AK776" s="28"/>
      <c r="AL776" s="28"/>
    </row>
    <row r="777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  <c r="AH777" s="28"/>
      <c r="AI777" s="28"/>
      <c r="AJ777" s="28"/>
      <c r="AK777" s="28"/>
      <c r="AL777" s="28"/>
    </row>
    <row r="778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  <c r="AH778" s="28"/>
      <c r="AI778" s="28"/>
      <c r="AJ778" s="28"/>
      <c r="AK778" s="28"/>
      <c r="AL778" s="28"/>
    </row>
    <row r="779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  <c r="AH779" s="28"/>
      <c r="AI779" s="28"/>
      <c r="AJ779" s="28"/>
      <c r="AK779" s="28"/>
      <c r="AL779" s="28"/>
    </row>
    <row r="780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  <c r="AH780" s="28"/>
      <c r="AI780" s="28"/>
      <c r="AJ780" s="28"/>
      <c r="AK780" s="28"/>
      <c r="AL780" s="28"/>
    </row>
    <row r="78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  <c r="AH781" s="28"/>
      <c r="AI781" s="28"/>
      <c r="AJ781" s="28"/>
      <c r="AK781" s="28"/>
      <c r="AL781" s="28"/>
    </row>
    <row r="782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  <c r="AH782" s="28"/>
      <c r="AI782" s="28"/>
      <c r="AJ782" s="28"/>
      <c r="AK782" s="28"/>
      <c r="AL782" s="28"/>
    </row>
    <row r="783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  <c r="AH783" s="28"/>
      <c r="AI783" s="28"/>
      <c r="AJ783" s="28"/>
      <c r="AK783" s="28"/>
      <c r="AL783" s="28"/>
    </row>
    <row r="784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  <c r="AH784" s="28"/>
      <c r="AI784" s="28"/>
      <c r="AJ784" s="28"/>
      <c r="AK784" s="28"/>
      <c r="AL784" s="28"/>
    </row>
    <row r="785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  <c r="AI785" s="28"/>
      <c r="AJ785" s="28"/>
      <c r="AK785" s="28"/>
      <c r="AL785" s="28"/>
    </row>
    <row r="786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  <c r="AH786" s="28"/>
      <c r="AI786" s="28"/>
      <c r="AJ786" s="28"/>
      <c r="AK786" s="28"/>
      <c r="AL786" s="28"/>
    </row>
    <row r="787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  <c r="AH787" s="28"/>
      <c r="AI787" s="28"/>
      <c r="AJ787" s="28"/>
      <c r="AK787" s="28"/>
      <c r="AL787" s="28"/>
    </row>
    <row r="788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  <c r="AH788" s="28"/>
      <c r="AI788" s="28"/>
      <c r="AJ788" s="28"/>
      <c r="AK788" s="28"/>
      <c r="AL788" s="28"/>
    </row>
    <row r="789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  <c r="AH789" s="28"/>
      <c r="AI789" s="28"/>
      <c r="AJ789" s="28"/>
      <c r="AK789" s="28"/>
      <c r="AL789" s="28"/>
    </row>
    <row r="790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  <c r="AH790" s="28"/>
      <c r="AI790" s="28"/>
      <c r="AJ790" s="28"/>
      <c r="AK790" s="28"/>
      <c r="AL790" s="28"/>
    </row>
    <row r="79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  <c r="AH791" s="28"/>
      <c r="AI791" s="28"/>
      <c r="AJ791" s="28"/>
      <c r="AK791" s="28"/>
      <c r="AL791" s="28"/>
    </row>
    <row r="792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  <c r="AH792" s="28"/>
      <c r="AI792" s="28"/>
      <c r="AJ792" s="28"/>
      <c r="AK792" s="28"/>
      <c r="AL792" s="28"/>
    </row>
    <row r="793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  <c r="AH793" s="28"/>
      <c r="AI793" s="28"/>
      <c r="AJ793" s="28"/>
      <c r="AK793" s="28"/>
      <c r="AL793" s="28"/>
    </row>
    <row r="794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  <c r="AH794" s="28"/>
      <c r="AI794" s="28"/>
      <c r="AJ794" s="28"/>
      <c r="AK794" s="28"/>
      <c r="AL794" s="28"/>
    </row>
    <row r="795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  <c r="AH795" s="28"/>
      <c r="AI795" s="28"/>
      <c r="AJ795" s="28"/>
      <c r="AK795" s="28"/>
      <c r="AL795" s="28"/>
    </row>
    <row r="796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  <c r="AH796" s="28"/>
      <c r="AI796" s="28"/>
      <c r="AJ796" s="28"/>
      <c r="AK796" s="28"/>
      <c r="AL796" s="28"/>
    </row>
    <row r="797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  <c r="AH797" s="28"/>
      <c r="AI797" s="28"/>
      <c r="AJ797" s="28"/>
      <c r="AK797" s="28"/>
      <c r="AL797" s="28"/>
    </row>
    <row r="798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  <c r="AH798" s="28"/>
      <c r="AI798" s="28"/>
      <c r="AJ798" s="28"/>
      <c r="AK798" s="28"/>
      <c r="AL798" s="28"/>
    </row>
    <row r="799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  <c r="AH799" s="28"/>
      <c r="AI799" s="28"/>
      <c r="AJ799" s="28"/>
      <c r="AK799" s="28"/>
      <c r="AL799" s="28"/>
    </row>
    <row r="800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  <c r="AH800" s="28"/>
      <c r="AI800" s="28"/>
      <c r="AJ800" s="28"/>
      <c r="AK800" s="28"/>
      <c r="AL800" s="28"/>
    </row>
    <row r="80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  <c r="AH801" s="28"/>
      <c r="AI801" s="28"/>
      <c r="AJ801" s="28"/>
      <c r="AK801" s="28"/>
      <c r="AL801" s="28"/>
    </row>
    <row r="802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  <c r="AH802" s="28"/>
      <c r="AI802" s="28"/>
      <c r="AJ802" s="28"/>
      <c r="AK802" s="28"/>
      <c r="AL802" s="28"/>
    </row>
    <row r="803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  <c r="AH803" s="28"/>
      <c r="AI803" s="28"/>
      <c r="AJ803" s="28"/>
      <c r="AK803" s="28"/>
      <c r="AL803" s="28"/>
    </row>
    <row r="804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  <c r="AH804" s="28"/>
      <c r="AI804" s="28"/>
      <c r="AJ804" s="28"/>
      <c r="AK804" s="28"/>
      <c r="AL804" s="28"/>
    </row>
    <row r="805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  <c r="AH805" s="28"/>
      <c r="AI805" s="28"/>
      <c r="AJ805" s="28"/>
      <c r="AK805" s="28"/>
      <c r="AL805" s="28"/>
    </row>
    <row r="806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  <c r="AH806" s="28"/>
      <c r="AI806" s="28"/>
      <c r="AJ806" s="28"/>
      <c r="AK806" s="28"/>
      <c r="AL806" s="28"/>
    </row>
    <row r="807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  <c r="AH807" s="28"/>
      <c r="AI807" s="28"/>
      <c r="AJ807" s="28"/>
      <c r="AK807" s="28"/>
      <c r="AL807" s="28"/>
    </row>
    <row r="808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  <c r="AH808" s="28"/>
      <c r="AI808" s="28"/>
      <c r="AJ808" s="28"/>
      <c r="AK808" s="28"/>
      <c r="AL808" s="28"/>
    </row>
    <row r="809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  <c r="AH809" s="28"/>
      <c r="AI809" s="28"/>
      <c r="AJ809" s="28"/>
      <c r="AK809" s="28"/>
      <c r="AL809" s="28"/>
    </row>
    <row r="810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  <c r="AH810" s="28"/>
      <c r="AI810" s="28"/>
      <c r="AJ810" s="28"/>
      <c r="AK810" s="28"/>
      <c r="AL810" s="28"/>
    </row>
    <row r="81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  <c r="AH811" s="28"/>
      <c r="AI811" s="28"/>
      <c r="AJ811" s="28"/>
      <c r="AK811" s="28"/>
      <c r="AL811" s="28"/>
    </row>
    <row r="812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  <c r="AH812" s="28"/>
      <c r="AI812" s="28"/>
      <c r="AJ812" s="28"/>
      <c r="AK812" s="28"/>
      <c r="AL812" s="28"/>
    </row>
    <row r="813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  <c r="AH813" s="28"/>
      <c r="AI813" s="28"/>
      <c r="AJ813" s="28"/>
      <c r="AK813" s="28"/>
      <c r="AL813" s="28"/>
    </row>
    <row r="814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  <c r="AH814" s="28"/>
      <c r="AI814" s="28"/>
      <c r="AJ814" s="28"/>
      <c r="AK814" s="28"/>
      <c r="AL814" s="28"/>
    </row>
    <row r="815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  <c r="AH815" s="28"/>
      <c r="AI815" s="28"/>
      <c r="AJ815" s="28"/>
      <c r="AK815" s="28"/>
      <c r="AL815" s="28"/>
    </row>
    <row r="816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  <c r="AH816" s="28"/>
      <c r="AI816" s="28"/>
      <c r="AJ816" s="28"/>
      <c r="AK816" s="28"/>
      <c r="AL816" s="28"/>
    </row>
    <row r="817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  <c r="AH817" s="28"/>
      <c r="AI817" s="28"/>
      <c r="AJ817" s="28"/>
      <c r="AK817" s="28"/>
      <c r="AL817" s="28"/>
    </row>
    <row r="818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  <c r="AH818" s="28"/>
      <c r="AI818" s="28"/>
      <c r="AJ818" s="28"/>
      <c r="AK818" s="28"/>
      <c r="AL818" s="28"/>
    </row>
    <row r="819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  <c r="AH819" s="28"/>
      <c r="AI819" s="28"/>
      <c r="AJ819" s="28"/>
      <c r="AK819" s="28"/>
      <c r="AL819" s="28"/>
    </row>
    <row r="820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  <c r="AH820" s="28"/>
      <c r="AI820" s="28"/>
      <c r="AJ820" s="28"/>
      <c r="AK820" s="28"/>
      <c r="AL820" s="28"/>
    </row>
    <row r="82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  <c r="AH821" s="28"/>
      <c r="AI821" s="28"/>
      <c r="AJ821" s="28"/>
      <c r="AK821" s="28"/>
      <c r="AL821" s="28"/>
    </row>
    <row r="822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  <c r="AH822" s="28"/>
      <c r="AI822" s="28"/>
      <c r="AJ822" s="28"/>
      <c r="AK822" s="28"/>
      <c r="AL822" s="28"/>
    </row>
    <row r="823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  <c r="AH823" s="28"/>
      <c r="AI823" s="28"/>
      <c r="AJ823" s="28"/>
      <c r="AK823" s="28"/>
      <c r="AL823" s="28"/>
    </row>
    <row r="824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  <c r="AH824" s="28"/>
      <c r="AI824" s="28"/>
      <c r="AJ824" s="28"/>
      <c r="AK824" s="28"/>
      <c r="AL824" s="28"/>
    </row>
    <row r="825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  <c r="AH825" s="28"/>
      <c r="AI825" s="28"/>
      <c r="AJ825" s="28"/>
      <c r="AK825" s="28"/>
      <c r="AL825" s="28"/>
    </row>
    <row r="826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  <c r="AH826" s="28"/>
      <c r="AI826" s="28"/>
      <c r="AJ826" s="28"/>
      <c r="AK826" s="28"/>
      <c r="AL826" s="28"/>
    </row>
    <row r="827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  <c r="AH827" s="28"/>
      <c r="AI827" s="28"/>
      <c r="AJ827" s="28"/>
      <c r="AK827" s="28"/>
      <c r="AL827" s="28"/>
    </row>
    <row r="828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  <c r="AH828" s="28"/>
      <c r="AI828" s="28"/>
      <c r="AJ828" s="28"/>
      <c r="AK828" s="28"/>
      <c r="AL828" s="28"/>
    </row>
    <row r="829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  <c r="AH829" s="28"/>
      <c r="AI829" s="28"/>
      <c r="AJ829" s="28"/>
      <c r="AK829" s="28"/>
      <c r="AL829" s="28"/>
    </row>
    <row r="830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  <c r="AH830" s="28"/>
      <c r="AI830" s="28"/>
      <c r="AJ830" s="28"/>
      <c r="AK830" s="28"/>
      <c r="AL830" s="28"/>
    </row>
    <row r="83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  <c r="AH831" s="28"/>
      <c r="AI831" s="28"/>
      <c r="AJ831" s="28"/>
      <c r="AK831" s="28"/>
      <c r="AL831" s="28"/>
    </row>
    <row r="832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  <c r="AH832" s="28"/>
      <c r="AI832" s="28"/>
      <c r="AJ832" s="28"/>
      <c r="AK832" s="28"/>
      <c r="AL832" s="28"/>
    </row>
    <row r="833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  <c r="AH833" s="28"/>
      <c r="AI833" s="28"/>
      <c r="AJ833" s="28"/>
      <c r="AK833" s="28"/>
      <c r="AL833" s="28"/>
    </row>
    <row r="834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  <c r="AH834" s="28"/>
      <c r="AI834" s="28"/>
      <c r="AJ834" s="28"/>
      <c r="AK834" s="28"/>
      <c r="AL834" s="28"/>
    </row>
    <row r="835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  <c r="AH835" s="28"/>
      <c r="AI835" s="28"/>
      <c r="AJ835" s="28"/>
      <c r="AK835" s="28"/>
      <c r="AL835" s="28"/>
    </row>
    <row r="836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  <c r="AH836" s="28"/>
      <c r="AI836" s="28"/>
      <c r="AJ836" s="28"/>
      <c r="AK836" s="28"/>
      <c r="AL836" s="28"/>
    </row>
    <row r="837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  <c r="AH837" s="28"/>
      <c r="AI837" s="28"/>
      <c r="AJ837" s="28"/>
      <c r="AK837" s="28"/>
      <c r="AL837" s="28"/>
    </row>
    <row r="838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  <c r="AH838" s="28"/>
      <c r="AI838" s="28"/>
      <c r="AJ838" s="28"/>
      <c r="AK838" s="28"/>
      <c r="AL838" s="28"/>
    </row>
    <row r="839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  <c r="AH839" s="28"/>
      <c r="AI839" s="28"/>
      <c r="AJ839" s="28"/>
      <c r="AK839" s="28"/>
      <c r="AL839" s="28"/>
    </row>
    <row r="840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  <c r="AH840" s="28"/>
      <c r="AI840" s="28"/>
      <c r="AJ840" s="28"/>
      <c r="AK840" s="28"/>
      <c r="AL840" s="28"/>
    </row>
    <row r="84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  <c r="AH841" s="28"/>
      <c r="AI841" s="28"/>
      <c r="AJ841" s="28"/>
      <c r="AK841" s="28"/>
      <c r="AL841" s="28"/>
    </row>
    <row r="842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  <c r="AH842" s="28"/>
      <c r="AI842" s="28"/>
      <c r="AJ842" s="28"/>
      <c r="AK842" s="28"/>
      <c r="AL842" s="28"/>
    </row>
    <row r="843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  <c r="AH843" s="28"/>
      <c r="AI843" s="28"/>
      <c r="AJ843" s="28"/>
      <c r="AK843" s="28"/>
      <c r="AL843" s="28"/>
    </row>
    <row r="844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  <c r="AH844" s="28"/>
      <c r="AI844" s="28"/>
      <c r="AJ844" s="28"/>
      <c r="AK844" s="28"/>
      <c r="AL844" s="28"/>
    </row>
    <row r="845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  <c r="AH845" s="28"/>
      <c r="AI845" s="28"/>
      <c r="AJ845" s="28"/>
      <c r="AK845" s="28"/>
      <c r="AL845" s="28"/>
    </row>
    <row r="846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  <c r="AH846" s="28"/>
      <c r="AI846" s="28"/>
      <c r="AJ846" s="28"/>
      <c r="AK846" s="28"/>
      <c r="AL846" s="28"/>
    </row>
    <row r="847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  <c r="AH847" s="28"/>
      <c r="AI847" s="28"/>
      <c r="AJ847" s="28"/>
      <c r="AK847" s="28"/>
      <c r="AL847" s="28"/>
    </row>
    <row r="848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  <c r="AH848" s="28"/>
      <c r="AI848" s="28"/>
      <c r="AJ848" s="28"/>
      <c r="AK848" s="28"/>
      <c r="AL848" s="28"/>
    </row>
    <row r="849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  <c r="AH849" s="28"/>
      <c r="AI849" s="28"/>
      <c r="AJ849" s="28"/>
      <c r="AK849" s="28"/>
      <c r="AL849" s="28"/>
    </row>
    <row r="850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  <c r="AH850" s="28"/>
      <c r="AI850" s="28"/>
      <c r="AJ850" s="28"/>
      <c r="AK850" s="28"/>
      <c r="AL850" s="28"/>
    </row>
    <row r="85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  <c r="AH851" s="28"/>
      <c r="AI851" s="28"/>
      <c r="AJ851" s="28"/>
      <c r="AK851" s="28"/>
      <c r="AL851" s="28"/>
    </row>
    <row r="852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  <c r="AH852" s="28"/>
      <c r="AI852" s="28"/>
      <c r="AJ852" s="28"/>
      <c r="AK852" s="28"/>
      <c r="AL852" s="28"/>
    </row>
    <row r="853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  <c r="AH853" s="28"/>
      <c r="AI853" s="28"/>
      <c r="AJ853" s="28"/>
      <c r="AK853" s="28"/>
      <c r="AL853" s="28"/>
    </row>
    <row r="854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  <c r="AH854" s="28"/>
      <c r="AI854" s="28"/>
      <c r="AJ854" s="28"/>
      <c r="AK854" s="28"/>
      <c r="AL854" s="28"/>
    </row>
    <row r="855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  <c r="AH855" s="28"/>
      <c r="AI855" s="28"/>
      <c r="AJ855" s="28"/>
      <c r="AK855" s="28"/>
      <c r="AL855" s="28"/>
    </row>
    <row r="856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  <c r="AH856" s="28"/>
      <c r="AI856" s="28"/>
      <c r="AJ856" s="28"/>
      <c r="AK856" s="28"/>
      <c r="AL856" s="28"/>
    </row>
    <row r="857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  <c r="AH857" s="28"/>
      <c r="AI857" s="28"/>
      <c r="AJ857" s="28"/>
      <c r="AK857" s="28"/>
      <c r="AL857" s="28"/>
    </row>
    <row r="858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  <c r="AH858" s="28"/>
      <c r="AI858" s="28"/>
      <c r="AJ858" s="28"/>
      <c r="AK858" s="28"/>
      <c r="AL858" s="28"/>
    </row>
    <row r="859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  <c r="AH859" s="28"/>
      <c r="AI859" s="28"/>
      <c r="AJ859" s="28"/>
      <c r="AK859" s="28"/>
      <c r="AL859" s="28"/>
    </row>
    <row r="860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  <c r="AH860" s="28"/>
      <c r="AI860" s="28"/>
      <c r="AJ860" s="28"/>
      <c r="AK860" s="28"/>
      <c r="AL860" s="28"/>
    </row>
    <row r="86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  <c r="AH861" s="28"/>
      <c r="AI861" s="28"/>
      <c r="AJ861" s="28"/>
      <c r="AK861" s="28"/>
      <c r="AL861" s="28"/>
    </row>
    <row r="862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8"/>
      <c r="AH862" s="28"/>
      <c r="AI862" s="28"/>
      <c r="AJ862" s="28"/>
      <c r="AK862" s="28"/>
      <c r="AL862" s="28"/>
    </row>
    <row r="863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  <c r="AH863" s="28"/>
      <c r="AI863" s="28"/>
      <c r="AJ863" s="28"/>
      <c r="AK863" s="28"/>
      <c r="AL863" s="28"/>
    </row>
    <row r="864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  <c r="AH864" s="28"/>
      <c r="AI864" s="28"/>
      <c r="AJ864" s="28"/>
      <c r="AK864" s="28"/>
      <c r="AL864" s="28"/>
    </row>
    <row r="865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  <c r="AH865" s="28"/>
      <c r="AI865" s="28"/>
      <c r="AJ865" s="28"/>
      <c r="AK865" s="28"/>
      <c r="AL865" s="28"/>
    </row>
    <row r="866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  <c r="AH866" s="28"/>
      <c r="AI866" s="28"/>
      <c r="AJ866" s="28"/>
      <c r="AK866" s="28"/>
      <c r="AL866" s="28"/>
    </row>
    <row r="867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  <c r="AH867" s="28"/>
      <c r="AI867" s="28"/>
      <c r="AJ867" s="28"/>
      <c r="AK867" s="28"/>
      <c r="AL867" s="28"/>
    </row>
    <row r="868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  <c r="AH868" s="28"/>
      <c r="AI868" s="28"/>
      <c r="AJ868" s="28"/>
      <c r="AK868" s="28"/>
      <c r="AL868" s="28"/>
    </row>
    <row r="869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  <c r="AH869" s="28"/>
      <c r="AI869" s="28"/>
      <c r="AJ869" s="28"/>
      <c r="AK869" s="28"/>
      <c r="AL869" s="28"/>
    </row>
    <row r="870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  <c r="AH870" s="28"/>
      <c r="AI870" s="28"/>
      <c r="AJ870" s="28"/>
      <c r="AK870" s="28"/>
      <c r="AL870" s="28"/>
    </row>
    <row r="87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  <c r="AH871" s="28"/>
      <c r="AI871" s="28"/>
      <c r="AJ871" s="28"/>
      <c r="AK871" s="28"/>
      <c r="AL871" s="28"/>
    </row>
    <row r="872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  <c r="AH872" s="28"/>
      <c r="AI872" s="28"/>
      <c r="AJ872" s="28"/>
      <c r="AK872" s="28"/>
      <c r="AL872" s="28"/>
    </row>
    <row r="873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  <c r="AH873" s="28"/>
      <c r="AI873" s="28"/>
      <c r="AJ873" s="28"/>
      <c r="AK873" s="28"/>
      <c r="AL873" s="28"/>
    </row>
    <row r="874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  <c r="AG874" s="28"/>
      <c r="AH874" s="28"/>
      <c r="AI874" s="28"/>
      <c r="AJ874" s="28"/>
      <c r="AK874" s="28"/>
      <c r="AL874" s="28"/>
    </row>
    <row r="875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28"/>
      <c r="AH875" s="28"/>
      <c r="AI875" s="28"/>
      <c r="AJ875" s="28"/>
      <c r="AK875" s="28"/>
      <c r="AL875" s="28"/>
    </row>
    <row r="876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  <c r="AG876" s="28"/>
      <c r="AH876" s="28"/>
      <c r="AI876" s="28"/>
      <c r="AJ876" s="28"/>
      <c r="AK876" s="28"/>
      <c r="AL876" s="28"/>
    </row>
    <row r="877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28"/>
      <c r="AH877" s="28"/>
      <c r="AI877" s="28"/>
      <c r="AJ877" s="28"/>
      <c r="AK877" s="28"/>
      <c r="AL877" s="28"/>
    </row>
    <row r="878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28"/>
      <c r="AH878" s="28"/>
      <c r="AI878" s="28"/>
      <c r="AJ878" s="28"/>
      <c r="AK878" s="28"/>
      <c r="AL878" s="28"/>
    </row>
    <row r="879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8"/>
      <c r="AH879" s="28"/>
      <c r="AI879" s="28"/>
      <c r="AJ879" s="28"/>
      <c r="AK879" s="28"/>
      <c r="AL879" s="28"/>
    </row>
    <row r="880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28"/>
      <c r="AH880" s="28"/>
      <c r="AI880" s="28"/>
      <c r="AJ880" s="28"/>
      <c r="AK880" s="28"/>
      <c r="AL880" s="28"/>
    </row>
    <row r="88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8"/>
      <c r="AH881" s="28"/>
      <c r="AI881" s="28"/>
      <c r="AJ881" s="28"/>
      <c r="AK881" s="28"/>
      <c r="AL881" s="28"/>
    </row>
    <row r="882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28"/>
      <c r="AH882" s="28"/>
      <c r="AI882" s="28"/>
      <c r="AJ882" s="28"/>
      <c r="AK882" s="28"/>
      <c r="AL882" s="28"/>
    </row>
    <row r="883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28"/>
      <c r="AH883" s="28"/>
      <c r="AI883" s="28"/>
      <c r="AJ883" s="28"/>
      <c r="AK883" s="28"/>
      <c r="AL883" s="28"/>
    </row>
    <row r="884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8"/>
      <c r="AH884" s="28"/>
      <c r="AI884" s="28"/>
      <c r="AJ884" s="28"/>
      <c r="AK884" s="28"/>
      <c r="AL884" s="28"/>
    </row>
    <row r="885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8"/>
      <c r="AH885" s="28"/>
      <c r="AI885" s="28"/>
      <c r="AJ885" s="28"/>
      <c r="AK885" s="28"/>
      <c r="AL885" s="28"/>
    </row>
    <row r="886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28"/>
      <c r="AH886" s="28"/>
      <c r="AI886" s="28"/>
      <c r="AJ886" s="28"/>
      <c r="AK886" s="28"/>
      <c r="AL886" s="28"/>
    </row>
    <row r="887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  <c r="AH887" s="28"/>
      <c r="AI887" s="28"/>
      <c r="AJ887" s="28"/>
      <c r="AK887" s="28"/>
      <c r="AL887" s="28"/>
    </row>
    <row r="888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28"/>
      <c r="AH888" s="28"/>
      <c r="AI888" s="28"/>
      <c r="AJ888" s="28"/>
      <c r="AK888" s="28"/>
      <c r="AL888" s="28"/>
    </row>
    <row r="889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8"/>
      <c r="AH889" s="28"/>
      <c r="AI889" s="28"/>
      <c r="AJ889" s="28"/>
      <c r="AK889" s="28"/>
      <c r="AL889" s="28"/>
    </row>
    <row r="890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8"/>
      <c r="AH890" s="28"/>
      <c r="AI890" s="28"/>
      <c r="AJ890" s="28"/>
      <c r="AK890" s="28"/>
      <c r="AL890" s="28"/>
    </row>
    <row r="89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  <c r="AH891" s="28"/>
      <c r="AI891" s="28"/>
      <c r="AJ891" s="28"/>
      <c r="AK891" s="28"/>
      <c r="AL891" s="28"/>
    </row>
    <row r="892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  <c r="AG892" s="28"/>
      <c r="AH892" s="28"/>
      <c r="AI892" s="28"/>
      <c r="AJ892" s="28"/>
      <c r="AK892" s="28"/>
      <c r="AL892" s="28"/>
    </row>
    <row r="893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  <c r="AH893" s="28"/>
      <c r="AI893" s="28"/>
      <c r="AJ893" s="28"/>
      <c r="AK893" s="28"/>
      <c r="AL893" s="28"/>
    </row>
    <row r="894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  <c r="AG894" s="28"/>
      <c r="AH894" s="28"/>
      <c r="AI894" s="28"/>
      <c r="AJ894" s="28"/>
      <c r="AK894" s="28"/>
      <c r="AL894" s="28"/>
    </row>
    <row r="895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8"/>
      <c r="AH895" s="28"/>
      <c r="AI895" s="28"/>
      <c r="AJ895" s="28"/>
      <c r="AK895" s="28"/>
      <c r="AL895" s="28"/>
    </row>
    <row r="896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  <c r="AH896" s="28"/>
      <c r="AI896" s="28"/>
      <c r="AJ896" s="28"/>
      <c r="AK896" s="28"/>
      <c r="AL896" s="28"/>
    </row>
    <row r="897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8"/>
      <c r="AH897" s="28"/>
      <c r="AI897" s="28"/>
      <c r="AJ897" s="28"/>
      <c r="AK897" s="28"/>
      <c r="AL897" s="28"/>
    </row>
    <row r="898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28"/>
      <c r="AH898" s="28"/>
      <c r="AI898" s="28"/>
      <c r="AJ898" s="28"/>
      <c r="AK898" s="28"/>
      <c r="AL898" s="28"/>
    </row>
    <row r="899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  <c r="AH899" s="28"/>
      <c r="AI899" s="28"/>
      <c r="AJ899" s="28"/>
      <c r="AK899" s="28"/>
      <c r="AL899" s="28"/>
    </row>
    <row r="900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  <c r="AG900" s="28"/>
      <c r="AH900" s="28"/>
      <c r="AI900" s="28"/>
      <c r="AJ900" s="28"/>
      <c r="AK900" s="28"/>
      <c r="AL900" s="28"/>
    </row>
    <row r="90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8"/>
      <c r="AH901" s="28"/>
      <c r="AI901" s="28"/>
      <c r="AJ901" s="28"/>
      <c r="AK901" s="28"/>
      <c r="AL901" s="28"/>
    </row>
    <row r="902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28"/>
      <c r="AH902" s="28"/>
      <c r="AI902" s="28"/>
      <c r="AJ902" s="28"/>
      <c r="AK902" s="28"/>
      <c r="AL902" s="28"/>
    </row>
    <row r="903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8"/>
      <c r="AH903" s="28"/>
      <c r="AI903" s="28"/>
      <c r="AJ903" s="28"/>
      <c r="AK903" s="28"/>
      <c r="AL903" s="28"/>
    </row>
    <row r="904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  <c r="AG904" s="28"/>
      <c r="AH904" s="28"/>
      <c r="AI904" s="28"/>
      <c r="AJ904" s="28"/>
      <c r="AK904" s="28"/>
      <c r="AL904" s="28"/>
    </row>
    <row r="905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  <c r="AH905" s="28"/>
      <c r="AI905" s="28"/>
      <c r="AJ905" s="28"/>
      <c r="AK905" s="28"/>
      <c r="AL905" s="28"/>
    </row>
    <row r="906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  <c r="AG906" s="28"/>
      <c r="AH906" s="28"/>
      <c r="AI906" s="28"/>
      <c r="AJ906" s="28"/>
      <c r="AK906" s="28"/>
      <c r="AL906" s="28"/>
    </row>
    <row r="907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  <c r="AG907" s="28"/>
      <c r="AH907" s="28"/>
      <c r="AI907" s="28"/>
      <c r="AJ907" s="28"/>
      <c r="AK907" s="28"/>
      <c r="AL907" s="28"/>
    </row>
    <row r="908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  <c r="AG908" s="28"/>
      <c r="AH908" s="28"/>
      <c r="AI908" s="28"/>
      <c r="AJ908" s="28"/>
      <c r="AK908" s="28"/>
      <c r="AL908" s="28"/>
    </row>
    <row r="909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  <c r="AG909" s="28"/>
      <c r="AH909" s="28"/>
      <c r="AI909" s="28"/>
      <c r="AJ909" s="28"/>
      <c r="AK909" s="28"/>
      <c r="AL909" s="28"/>
    </row>
    <row r="910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  <c r="AG910" s="28"/>
      <c r="AH910" s="28"/>
      <c r="AI910" s="28"/>
      <c r="AJ910" s="28"/>
      <c r="AK910" s="28"/>
      <c r="AL910" s="28"/>
    </row>
    <row r="91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  <c r="AG911" s="28"/>
      <c r="AH911" s="28"/>
      <c r="AI911" s="28"/>
      <c r="AJ911" s="28"/>
      <c r="AK911" s="28"/>
      <c r="AL911" s="28"/>
    </row>
    <row r="912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  <c r="AG912" s="28"/>
      <c r="AH912" s="28"/>
      <c r="AI912" s="28"/>
      <c r="AJ912" s="28"/>
      <c r="AK912" s="28"/>
      <c r="AL912" s="28"/>
    </row>
    <row r="913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  <c r="AG913" s="28"/>
      <c r="AH913" s="28"/>
      <c r="AI913" s="28"/>
      <c r="AJ913" s="28"/>
      <c r="AK913" s="28"/>
      <c r="AL913" s="28"/>
    </row>
    <row r="914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  <c r="AG914" s="28"/>
      <c r="AH914" s="28"/>
      <c r="AI914" s="28"/>
      <c r="AJ914" s="28"/>
      <c r="AK914" s="28"/>
      <c r="AL914" s="28"/>
    </row>
    <row r="915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  <c r="AG915" s="28"/>
      <c r="AH915" s="28"/>
      <c r="AI915" s="28"/>
      <c r="AJ915" s="28"/>
      <c r="AK915" s="28"/>
      <c r="AL915" s="28"/>
    </row>
    <row r="916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  <c r="AG916" s="28"/>
      <c r="AH916" s="28"/>
      <c r="AI916" s="28"/>
      <c r="AJ916" s="28"/>
      <c r="AK916" s="28"/>
      <c r="AL916" s="28"/>
    </row>
    <row r="917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8"/>
      <c r="AH917" s="28"/>
      <c r="AI917" s="28"/>
      <c r="AJ917" s="28"/>
      <c r="AK917" s="28"/>
      <c r="AL917" s="28"/>
    </row>
    <row r="918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  <c r="AG918" s="28"/>
      <c r="AH918" s="28"/>
      <c r="AI918" s="28"/>
      <c r="AJ918" s="28"/>
      <c r="AK918" s="28"/>
      <c r="AL918" s="28"/>
    </row>
    <row r="919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8"/>
      <c r="AH919" s="28"/>
      <c r="AI919" s="28"/>
      <c r="AJ919" s="28"/>
      <c r="AK919" s="28"/>
      <c r="AL919" s="28"/>
    </row>
    <row r="920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28"/>
      <c r="AH920" s="28"/>
      <c r="AI920" s="28"/>
      <c r="AJ920" s="28"/>
      <c r="AK920" s="28"/>
      <c r="AL920" s="28"/>
    </row>
    <row r="92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8"/>
      <c r="AH921" s="28"/>
      <c r="AI921" s="28"/>
      <c r="AJ921" s="28"/>
      <c r="AK921" s="28"/>
      <c r="AL921" s="28"/>
    </row>
    <row r="922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  <c r="AG922" s="28"/>
      <c r="AH922" s="28"/>
      <c r="AI922" s="28"/>
      <c r="AJ922" s="28"/>
      <c r="AK922" s="28"/>
      <c r="AL922" s="28"/>
    </row>
    <row r="923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  <c r="AH923" s="28"/>
      <c r="AI923" s="28"/>
      <c r="AJ923" s="28"/>
      <c r="AK923" s="28"/>
      <c r="AL923" s="28"/>
    </row>
    <row r="924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  <c r="AG924" s="28"/>
      <c r="AH924" s="28"/>
      <c r="AI924" s="28"/>
      <c r="AJ924" s="28"/>
      <c r="AK924" s="28"/>
      <c r="AL924" s="28"/>
    </row>
    <row r="925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8"/>
      <c r="AH925" s="28"/>
      <c r="AI925" s="28"/>
      <c r="AJ925" s="28"/>
      <c r="AK925" s="28"/>
      <c r="AL925" s="28"/>
    </row>
    <row r="926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28"/>
      <c r="AH926" s="28"/>
      <c r="AI926" s="28"/>
      <c r="AJ926" s="28"/>
      <c r="AK926" s="28"/>
      <c r="AL926" s="28"/>
    </row>
    <row r="927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8"/>
      <c r="AH927" s="28"/>
      <c r="AI927" s="28"/>
      <c r="AJ927" s="28"/>
      <c r="AK927" s="28"/>
      <c r="AL927" s="28"/>
    </row>
    <row r="928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  <c r="AG928" s="28"/>
      <c r="AH928" s="28"/>
      <c r="AI928" s="28"/>
      <c r="AJ928" s="28"/>
      <c r="AK928" s="28"/>
      <c r="AL928" s="28"/>
    </row>
    <row r="929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  <c r="AH929" s="28"/>
      <c r="AI929" s="28"/>
      <c r="AJ929" s="28"/>
      <c r="AK929" s="28"/>
      <c r="AL929" s="28"/>
    </row>
    <row r="930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  <c r="AG930" s="28"/>
      <c r="AH930" s="28"/>
      <c r="AI930" s="28"/>
      <c r="AJ930" s="28"/>
      <c r="AK930" s="28"/>
      <c r="AL930" s="28"/>
    </row>
    <row r="93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  <c r="AG931" s="28"/>
      <c r="AH931" s="28"/>
      <c r="AI931" s="28"/>
      <c r="AJ931" s="28"/>
      <c r="AK931" s="28"/>
      <c r="AL931" s="28"/>
    </row>
    <row r="932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  <c r="AG932" s="28"/>
      <c r="AH932" s="28"/>
      <c r="AI932" s="28"/>
      <c r="AJ932" s="28"/>
      <c r="AK932" s="28"/>
      <c r="AL932" s="28"/>
    </row>
    <row r="933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  <c r="AG933" s="28"/>
      <c r="AH933" s="28"/>
      <c r="AI933" s="28"/>
      <c r="AJ933" s="28"/>
      <c r="AK933" s="28"/>
      <c r="AL933" s="28"/>
    </row>
    <row r="934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  <c r="AG934" s="28"/>
      <c r="AH934" s="28"/>
      <c r="AI934" s="28"/>
      <c r="AJ934" s="28"/>
      <c r="AK934" s="28"/>
      <c r="AL934" s="28"/>
    </row>
    <row r="935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  <c r="AG935" s="28"/>
      <c r="AH935" s="28"/>
      <c r="AI935" s="28"/>
      <c r="AJ935" s="28"/>
      <c r="AK935" s="28"/>
      <c r="AL935" s="28"/>
    </row>
    <row r="936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  <c r="AG936" s="28"/>
      <c r="AH936" s="28"/>
      <c r="AI936" s="28"/>
      <c r="AJ936" s="28"/>
      <c r="AK936" s="28"/>
      <c r="AL936" s="28"/>
    </row>
    <row r="937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  <c r="AG937" s="28"/>
      <c r="AH937" s="28"/>
      <c r="AI937" s="28"/>
      <c r="AJ937" s="28"/>
      <c r="AK937" s="28"/>
      <c r="AL937" s="28"/>
    </row>
    <row r="938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  <c r="AG938" s="28"/>
      <c r="AH938" s="28"/>
      <c r="AI938" s="28"/>
      <c r="AJ938" s="28"/>
      <c r="AK938" s="28"/>
      <c r="AL938" s="28"/>
    </row>
    <row r="939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  <c r="AG939" s="28"/>
      <c r="AH939" s="28"/>
      <c r="AI939" s="28"/>
      <c r="AJ939" s="28"/>
      <c r="AK939" s="28"/>
      <c r="AL939" s="28"/>
    </row>
    <row r="940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  <c r="AG940" s="28"/>
      <c r="AH940" s="28"/>
      <c r="AI940" s="28"/>
      <c r="AJ940" s="28"/>
      <c r="AK940" s="28"/>
      <c r="AL940" s="28"/>
    </row>
    <row r="94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  <c r="AG941" s="28"/>
      <c r="AH941" s="28"/>
      <c r="AI941" s="28"/>
      <c r="AJ941" s="28"/>
      <c r="AK941" s="28"/>
      <c r="AL941" s="28"/>
    </row>
    <row r="942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  <c r="AF942" s="28"/>
      <c r="AG942" s="28"/>
      <c r="AH942" s="28"/>
      <c r="AI942" s="28"/>
      <c r="AJ942" s="28"/>
      <c r="AK942" s="28"/>
      <c r="AL942" s="28"/>
    </row>
    <row r="943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  <c r="AG943" s="28"/>
      <c r="AH943" s="28"/>
      <c r="AI943" s="28"/>
      <c r="AJ943" s="28"/>
      <c r="AK943" s="28"/>
      <c r="AL943" s="28"/>
    </row>
    <row r="944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  <c r="AG944" s="28"/>
      <c r="AH944" s="28"/>
      <c r="AI944" s="28"/>
      <c r="AJ944" s="28"/>
      <c r="AK944" s="28"/>
      <c r="AL944" s="28"/>
    </row>
    <row r="945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  <c r="AG945" s="28"/>
      <c r="AH945" s="28"/>
      <c r="AI945" s="28"/>
      <c r="AJ945" s="28"/>
      <c r="AK945" s="28"/>
      <c r="AL945" s="28"/>
    </row>
    <row r="946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  <c r="AF946" s="28"/>
      <c r="AG946" s="28"/>
      <c r="AH946" s="28"/>
      <c r="AI946" s="28"/>
      <c r="AJ946" s="28"/>
      <c r="AK946" s="28"/>
      <c r="AL946" s="28"/>
    </row>
    <row r="947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  <c r="AG947" s="28"/>
      <c r="AH947" s="28"/>
      <c r="AI947" s="28"/>
      <c r="AJ947" s="28"/>
      <c r="AK947" s="28"/>
      <c r="AL947" s="28"/>
    </row>
    <row r="948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  <c r="AF948" s="28"/>
      <c r="AG948" s="28"/>
      <c r="AH948" s="28"/>
      <c r="AI948" s="28"/>
      <c r="AJ948" s="28"/>
      <c r="AK948" s="28"/>
      <c r="AL948" s="28"/>
    </row>
    <row r="949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  <c r="AG949" s="28"/>
      <c r="AH949" s="28"/>
      <c r="AI949" s="28"/>
      <c r="AJ949" s="28"/>
      <c r="AK949" s="28"/>
      <c r="AL949" s="28"/>
    </row>
    <row r="950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  <c r="AF950" s="28"/>
      <c r="AG950" s="28"/>
      <c r="AH950" s="28"/>
      <c r="AI950" s="28"/>
      <c r="AJ950" s="28"/>
      <c r="AK950" s="28"/>
      <c r="AL950" s="28"/>
    </row>
    <row r="95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  <c r="AF951" s="28"/>
      <c r="AG951" s="28"/>
      <c r="AH951" s="28"/>
      <c r="AI951" s="28"/>
      <c r="AJ951" s="28"/>
      <c r="AK951" s="28"/>
      <c r="AL951" s="28"/>
    </row>
    <row r="952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  <c r="AF952" s="28"/>
      <c r="AG952" s="28"/>
      <c r="AH952" s="28"/>
      <c r="AI952" s="28"/>
      <c r="AJ952" s="28"/>
      <c r="AK952" s="28"/>
      <c r="AL952" s="28"/>
    </row>
    <row r="953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  <c r="AF953" s="28"/>
      <c r="AG953" s="28"/>
      <c r="AH953" s="28"/>
      <c r="AI953" s="28"/>
      <c r="AJ953" s="28"/>
      <c r="AK953" s="28"/>
      <c r="AL953" s="28"/>
    </row>
    <row r="954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  <c r="AF954" s="28"/>
      <c r="AG954" s="28"/>
      <c r="AH954" s="28"/>
      <c r="AI954" s="28"/>
      <c r="AJ954" s="28"/>
      <c r="AK954" s="28"/>
      <c r="AL954" s="28"/>
    </row>
    <row r="955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  <c r="AG955" s="28"/>
      <c r="AH955" s="28"/>
      <c r="AI955" s="28"/>
      <c r="AJ955" s="28"/>
      <c r="AK955" s="28"/>
      <c r="AL955" s="28"/>
    </row>
    <row r="956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  <c r="AF956" s="28"/>
      <c r="AG956" s="28"/>
      <c r="AH956" s="28"/>
      <c r="AI956" s="28"/>
      <c r="AJ956" s="28"/>
      <c r="AK956" s="28"/>
      <c r="AL956" s="28"/>
    </row>
    <row r="957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  <c r="AF957" s="28"/>
      <c r="AG957" s="28"/>
      <c r="AH957" s="28"/>
      <c r="AI957" s="28"/>
      <c r="AJ957" s="28"/>
      <c r="AK957" s="28"/>
      <c r="AL957" s="28"/>
    </row>
    <row r="958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  <c r="AF958" s="28"/>
      <c r="AG958" s="28"/>
      <c r="AH958" s="28"/>
      <c r="AI958" s="28"/>
      <c r="AJ958" s="28"/>
      <c r="AK958" s="28"/>
      <c r="AL958" s="28"/>
    </row>
    <row r="959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  <c r="AG959" s="28"/>
      <c r="AH959" s="28"/>
      <c r="AI959" s="28"/>
      <c r="AJ959" s="28"/>
      <c r="AK959" s="28"/>
      <c r="AL959" s="28"/>
    </row>
    <row r="960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  <c r="AG960" s="28"/>
      <c r="AH960" s="28"/>
      <c r="AI960" s="28"/>
      <c r="AJ960" s="28"/>
      <c r="AK960" s="28"/>
      <c r="AL960" s="28"/>
    </row>
    <row r="96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  <c r="AG961" s="28"/>
      <c r="AH961" s="28"/>
      <c r="AI961" s="28"/>
      <c r="AJ961" s="28"/>
      <c r="AK961" s="28"/>
      <c r="AL961" s="28"/>
    </row>
    <row r="962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  <c r="AG962" s="28"/>
      <c r="AH962" s="28"/>
      <c r="AI962" s="28"/>
      <c r="AJ962" s="28"/>
      <c r="AK962" s="28"/>
      <c r="AL962" s="28"/>
    </row>
    <row r="963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  <c r="AG963" s="28"/>
      <c r="AH963" s="28"/>
      <c r="AI963" s="28"/>
      <c r="AJ963" s="28"/>
      <c r="AK963" s="28"/>
      <c r="AL963" s="28"/>
    </row>
    <row r="964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  <c r="AG964" s="28"/>
      <c r="AH964" s="28"/>
      <c r="AI964" s="28"/>
      <c r="AJ964" s="28"/>
      <c r="AK964" s="28"/>
      <c r="AL964" s="28"/>
    </row>
    <row r="965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  <c r="AF965" s="28"/>
      <c r="AG965" s="28"/>
      <c r="AH965" s="28"/>
      <c r="AI965" s="28"/>
      <c r="AJ965" s="28"/>
      <c r="AK965" s="28"/>
      <c r="AL965" s="28"/>
    </row>
    <row r="966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  <c r="AG966" s="28"/>
      <c r="AH966" s="28"/>
      <c r="AI966" s="28"/>
      <c r="AJ966" s="28"/>
      <c r="AK966" s="28"/>
      <c r="AL966" s="28"/>
    </row>
    <row r="967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  <c r="AG967" s="28"/>
      <c r="AH967" s="28"/>
      <c r="AI967" s="28"/>
      <c r="AJ967" s="28"/>
      <c r="AK967" s="28"/>
      <c r="AL967" s="28"/>
    </row>
    <row r="968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  <c r="AF968" s="28"/>
      <c r="AG968" s="28"/>
      <c r="AH968" s="28"/>
      <c r="AI968" s="28"/>
      <c r="AJ968" s="28"/>
      <c r="AK968" s="28"/>
      <c r="AL968" s="28"/>
    </row>
    <row r="969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  <c r="AF969" s="28"/>
      <c r="AG969" s="28"/>
      <c r="AH969" s="28"/>
      <c r="AI969" s="28"/>
      <c r="AJ969" s="28"/>
      <c r="AK969" s="28"/>
      <c r="AL969" s="28"/>
    </row>
    <row r="970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  <c r="AF970" s="28"/>
      <c r="AG970" s="28"/>
      <c r="AH970" s="28"/>
      <c r="AI970" s="28"/>
      <c r="AJ970" s="28"/>
      <c r="AK970" s="28"/>
      <c r="AL970" s="28"/>
    </row>
    <row r="97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  <c r="AF971" s="28"/>
      <c r="AG971" s="28"/>
      <c r="AH971" s="28"/>
      <c r="AI971" s="28"/>
      <c r="AJ971" s="28"/>
      <c r="AK971" s="28"/>
      <c r="AL971" s="28"/>
    </row>
    <row r="972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  <c r="AF972" s="28"/>
      <c r="AG972" s="28"/>
      <c r="AH972" s="28"/>
      <c r="AI972" s="28"/>
      <c r="AJ972" s="28"/>
      <c r="AK972" s="28"/>
      <c r="AL972" s="28"/>
    </row>
    <row r="973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  <c r="AF973" s="28"/>
      <c r="AG973" s="28"/>
      <c r="AH973" s="28"/>
      <c r="AI973" s="28"/>
      <c r="AJ973" s="28"/>
      <c r="AK973" s="28"/>
      <c r="AL973" s="28"/>
    </row>
    <row r="974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  <c r="AF974" s="28"/>
      <c r="AG974" s="28"/>
      <c r="AH974" s="28"/>
      <c r="AI974" s="28"/>
      <c r="AJ974" s="28"/>
      <c r="AK974" s="28"/>
      <c r="AL974" s="28"/>
    </row>
    <row r="975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  <c r="AF975" s="28"/>
      <c r="AG975" s="28"/>
      <c r="AH975" s="28"/>
      <c r="AI975" s="28"/>
      <c r="AJ975" s="28"/>
      <c r="AK975" s="28"/>
      <c r="AL975" s="28"/>
    </row>
    <row r="976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  <c r="AF976" s="28"/>
      <c r="AG976" s="28"/>
      <c r="AH976" s="28"/>
      <c r="AI976" s="28"/>
      <c r="AJ976" s="28"/>
      <c r="AK976" s="28"/>
      <c r="AL976" s="28"/>
    </row>
    <row r="977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  <c r="AF977" s="28"/>
      <c r="AG977" s="28"/>
      <c r="AH977" s="28"/>
      <c r="AI977" s="28"/>
      <c r="AJ977" s="28"/>
      <c r="AK977" s="28"/>
      <c r="AL977" s="28"/>
    </row>
    <row r="978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  <c r="AF978" s="28"/>
      <c r="AG978" s="28"/>
      <c r="AH978" s="28"/>
      <c r="AI978" s="28"/>
      <c r="AJ978" s="28"/>
      <c r="AK978" s="28"/>
      <c r="AL978" s="28"/>
    </row>
    <row r="979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  <c r="AF979" s="28"/>
      <c r="AG979" s="28"/>
      <c r="AH979" s="28"/>
      <c r="AI979" s="28"/>
      <c r="AJ979" s="28"/>
      <c r="AK979" s="28"/>
      <c r="AL979" s="28"/>
    </row>
    <row r="980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  <c r="AF980" s="28"/>
      <c r="AG980" s="28"/>
      <c r="AH980" s="28"/>
      <c r="AI980" s="28"/>
      <c r="AJ980" s="28"/>
      <c r="AK980" s="28"/>
      <c r="AL980" s="28"/>
    </row>
    <row r="98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  <c r="AF981" s="28"/>
      <c r="AG981" s="28"/>
      <c r="AH981" s="28"/>
      <c r="AI981" s="28"/>
      <c r="AJ981" s="28"/>
      <c r="AK981" s="28"/>
      <c r="AL981" s="28"/>
    </row>
    <row r="982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  <c r="AF982" s="28"/>
      <c r="AG982" s="28"/>
      <c r="AH982" s="28"/>
      <c r="AI982" s="28"/>
      <c r="AJ982" s="28"/>
      <c r="AK982" s="28"/>
      <c r="AL982" s="28"/>
    </row>
    <row r="983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  <c r="AF983" s="28"/>
      <c r="AG983" s="28"/>
      <c r="AH983" s="28"/>
      <c r="AI983" s="28"/>
      <c r="AJ983" s="28"/>
      <c r="AK983" s="28"/>
      <c r="AL983" s="28"/>
    </row>
    <row r="984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  <c r="AF984" s="28"/>
      <c r="AG984" s="28"/>
      <c r="AH984" s="28"/>
      <c r="AI984" s="28"/>
      <c r="AJ984" s="28"/>
      <c r="AK984" s="28"/>
      <c r="AL984" s="28"/>
    </row>
    <row r="985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  <c r="AF985" s="28"/>
      <c r="AG985" s="28"/>
      <c r="AH985" s="28"/>
      <c r="AI985" s="28"/>
      <c r="AJ985" s="28"/>
      <c r="AK985" s="28"/>
      <c r="AL985" s="28"/>
    </row>
    <row r="986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  <c r="AF986" s="28"/>
      <c r="AG986" s="28"/>
      <c r="AH986" s="28"/>
      <c r="AI986" s="28"/>
      <c r="AJ986" s="28"/>
      <c r="AK986" s="28"/>
      <c r="AL986" s="28"/>
    </row>
    <row r="987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  <c r="AF987" s="28"/>
      <c r="AG987" s="28"/>
      <c r="AH987" s="28"/>
      <c r="AI987" s="28"/>
      <c r="AJ987" s="28"/>
      <c r="AK987" s="28"/>
      <c r="AL987" s="28"/>
    </row>
    <row r="988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  <c r="AF988" s="28"/>
      <c r="AG988" s="28"/>
      <c r="AH988" s="28"/>
      <c r="AI988" s="28"/>
      <c r="AJ988" s="28"/>
      <c r="AK988" s="28"/>
      <c r="AL988" s="28"/>
    </row>
    <row r="989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  <c r="AF989" s="28"/>
      <c r="AG989" s="28"/>
      <c r="AH989" s="28"/>
      <c r="AI989" s="28"/>
      <c r="AJ989" s="28"/>
      <c r="AK989" s="28"/>
      <c r="AL989" s="28"/>
    </row>
    <row r="990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  <c r="AF990" s="28"/>
      <c r="AG990" s="28"/>
      <c r="AH990" s="28"/>
      <c r="AI990" s="28"/>
      <c r="AJ990" s="28"/>
      <c r="AK990" s="28"/>
      <c r="AL990" s="28"/>
    </row>
    <row r="99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  <c r="AG991" s="28"/>
      <c r="AH991" s="28"/>
      <c r="AI991" s="28"/>
      <c r="AJ991" s="28"/>
      <c r="AK991" s="28"/>
      <c r="AL991" s="28"/>
    </row>
    <row r="992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  <c r="AF992" s="28"/>
      <c r="AG992" s="28"/>
      <c r="AH992" s="28"/>
      <c r="AI992" s="28"/>
      <c r="AJ992" s="28"/>
      <c r="AK992" s="28"/>
      <c r="AL992" s="28"/>
    </row>
    <row r="993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  <c r="AF993" s="28"/>
      <c r="AG993" s="28"/>
      <c r="AH993" s="28"/>
      <c r="AI993" s="28"/>
      <c r="AJ993" s="28"/>
      <c r="AK993" s="28"/>
      <c r="AL993" s="28"/>
    </row>
    <row r="994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  <c r="AF994" s="28"/>
      <c r="AG994" s="28"/>
      <c r="AH994" s="28"/>
      <c r="AI994" s="28"/>
      <c r="AJ994" s="28"/>
      <c r="AK994" s="28"/>
      <c r="AL994" s="28"/>
    </row>
    <row r="995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  <c r="AF995" s="28"/>
      <c r="AG995" s="28"/>
      <c r="AH995" s="28"/>
      <c r="AI995" s="28"/>
      <c r="AJ995" s="28"/>
      <c r="AK995" s="28"/>
      <c r="AL995" s="28"/>
    </row>
    <row r="996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  <c r="AF996" s="28"/>
      <c r="AG996" s="28"/>
      <c r="AH996" s="28"/>
      <c r="AI996" s="28"/>
      <c r="AJ996" s="28"/>
      <c r="AK996" s="28"/>
      <c r="AL996" s="28"/>
    </row>
    <row r="997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  <c r="AF997" s="28"/>
      <c r="AG997" s="28"/>
      <c r="AH997" s="28"/>
      <c r="AI997" s="28"/>
      <c r="AJ997" s="28"/>
      <c r="AK997" s="28"/>
      <c r="AL997" s="28"/>
    </row>
    <row r="998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  <c r="AE998" s="28"/>
      <c r="AF998" s="28"/>
      <c r="AG998" s="28"/>
      <c r="AH998" s="28"/>
      <c r="AI998" s="28"/>
      <c r="AJ998" s="28"/>
      <c r="AK998" s="28"/>
      <c r="AL998" s="28"/>
    </row>
    <row r="999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8"/>
      <c r="AF999" s="28"/>
      <c r="AG999" s="28"/>
      <c r="AH999" s="28"/>
      <c r="AI999" s="28"/>
      <c r="AJ999" s="28"/>
      <c r="AK999" s="28"/>
      <c r="AL999" s="28"/>
    </row>
    <row r="1000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  <c r="AF1000" s="28"/>
      <c r="AG1000" s="28"/>
      <c r="AH1000" s="28"/>
      <c r="AI1000" s="28"/>
      <c r="AJ1000" s="28"/>
      <c r="AK1000" s="28"/>
      <c r="AL1000" s="28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2">
      <c r="A2" s="33" t="str">
        <f>IFERROR(__xludf.DUMMYFUNCTION("BYROW( Transactions!F2:F1000, LAMBDA( cat, TRANSPOSE( UNIQUE( FILTER( Dropdowns!P:P, Dropdowns!O:O = cat ) ) ) ) )"),"Debt")</f>
        <v>Debt</v>
      </c>
      <c r="B2" s="33" t="str">
        <f>IFERROR(__xludf.DUMMYFUNCTION("""COMPUTED_VALUE"""),"Groceries")</f>
        <v>Groceries</v>
      </c>
      <c r="C2" s="33" t="str">
        <f>IFERROR(__xludf.DUMMYFUNCTION("""COMPUTED_VALUE"""),"Healthcare")</f>
        <v>Healthcare</v>
      </c>
      <c r="D2" s="33" t="str">
        <f>IFERROR(__xludf.DUMMYFUNCTION("""COMPUTED_VALUE"""),"Household Items")</f>
        <v>Household Items</v>
      </c>
      <c r="E2" s="33" t="str">
        <f>IFERROR(__xludf.DUMMYFUNCTION("""COMPUTED_VALUE"""),"Housing")</f>
        <v>Housing</v>
      </c>
      <c r="F2" s="33" t="str">
        <f>IFERROR(__xludf.DUMMYFUNCTION("""COMPUTED_VALUE"""),"Miscellaneous")</f>
        <v>Miscellaneous</v>
      </c>
      <c r="G2" s="33" t="str">
        <f>IFERROR(__xludf.DUMMYFUNCTION("""COMPUTED_VALUE"""),"Pet")</f>
        <v>Pet</v>
      </c>
      <c r="H2" s="33" t="str">
        <f>IFERROR(__xludf.DUMMYFUNCTION("""COMPUTED_VALUE"""),"Transportation")</f>
        <v>Transportation</v>
      </c>
      <c r="I2" s="33"/>
      <c r="J2" s="33"/>
      <c r="K2" s="33"/>
    </row>
    <row r="3">
      <c r="A3" s="33" t="str">
        <f>IFERROR(__xludf.DUMMYFUNCTION("""COMPUTED_VALUE"""),"Debt")</f>
        <v>Debt</v>
      </c>
      <c r="B3" s="33" t="str">
        <f>IFERROR(__xludf.DUMMYFUNCTION("""COMPUTED_VALUE"""),"Groceries")</f>
        <v>Groceries</v>
      </c>
      <c r="C3" s="33" t="str">
        <f>IFERROR(__xludf.DUMMYFUNCTION("""COMPUTED_VALUE"""),"Healthcare")</f>
        <v>Healthcare</v>
      </c>
      <c r="D3" s="33" t="str">
        <f>IFERROR(__xludf.DUMMYFUNCTION("""COMPUTED_VALUE"""),"Household Items")</f>
        <v>Household Items</v>
      </c>
      <c r="E3" s="33" t="str">
        <f>IFERROR(__xludf.DUMMYFUNCTION("""COMPUTED_VALUE"""),"Housing")</f>
        <v>Housing</v>
      </c>
      <c r="F3" s="33" t="str">
        <f>IFERROR(__xludf.DUMMYFUNCTION("""COMPUTED_VALUE"""),"Miscellaneous")</f>
        <v>Miscellaneous</v>
      </c>
      <c r="G3" s="33" t="str">
        <f>IFERROR(__xludf.DUMMYFUNCTION("""COMPUTED_VALUE"""),"Pet")</f>
        <v>Pet</v>
      </c>
      <c r="H3" s="33" t="str">
        <f>IFERROR(__xludf.DUMMYFUNCTION("""COMPUTED_VALUE"""),"Transportation")</f>
        <v>Transportation</v>
      </c>
      <c r="I3" s="33"/>
      <c r="J3" s="33"/>
      <c r="K3" s="33"/>
    </row>
    <row r="4">
      <c r="A4" s="33" t="str">
        <f>IFERROR(__xludf.DUMMYFUNCTION("""COMPUTED_VALUE"""),"Cashback")</f>
        <v>Cashback</v>
      </c>
      <c r="B4" s="33" t="str">
        <f>IFERROR(__xludf.DUMMYFUNCTION("""COMPUTED_VALUE"""),"Investment Returns")</f>
        <v>Investment Returns</v>
      </c>
      <c r="C4" s="33" t="str">
        <f>IFERROR(__xludf.DUMMYFUNCTION("""COMPUTED_VALUE"""),"Paycheck")</f>
        <v>Paycheck</v>
      </c>
      <c r="D4" s="33" t="str">
        <f>IFERROR(__xludf.DUMMYFUNCTION("""COMPUTED_VALUE"""),"Reimbursement")</f>
        <v>Reimbursement</v>
      </c>
      <c r="E4" s="33" t="str">
        <f>IFERROR(__xludf.DUMMYFUNCTION("""COMPUTED_VALUE"""),"Rewards")</f>
        <v>Rewards</v>
      </c>
      <c r="F4" s="33"/>
      <c r="G4" s="33"/>
      <c r="H4" s="33"/>
      <c r="I4" s="33"/>
      <c r="J4" s="33"/>
      <c r="K4" s="33"/>
    </row>
    <row r="5">
      <c r="A5" s="33" t="str">
        <f>IFERROR(__xludf.DUMMYFUNCTION("""COMPUTED_VALUE"""),"Cashback")</f>
        <v>Cashback</v>
      </c>
      <c r="B5" s="33" t="str">
        <f>IFERROR(__xludf.DUMMYFUNCTION("""COMPUTED_VALUE"""),"Investment Returns")</f>
        <v>Investment Returns</v>
      </c>
      <c r="C5" s="33" t="str">
        <f>IFERROR(__xludf.DUMMYFUNCTION("""COMPUTED_VALUE"""),"Paycheck")</f>
        <v>Paycheck</v>
      </c>
      <c r="D5" s="33" t="str">
        <f>IFERROR(__xludf.DUMMYFUNCTION("""COMPUTED_VALUE"""),"Reimbursement")</f>
        <v>Reimbursement</v>
      </c>
      <c r="E5" s="33" t="str">
        <f>IFERROR(__xludf.DUMMYFUNCTION("""COMPUTED_VALUE"""),"Rewards")</f>
        <v>Rewards</v>
      </c>
      <c r="F5" s="33"/>
      <c r="G5" s="33"/>
      <c r="H5" s="33"/>
      <c r="I5" s="33"/>
      <c r="J5" s="33"/>
      <c r="K5" s="33"/>
    </row>
    <row r="6">
      <c r="A6" s="33" t="str">
        <f>IFERROR(__xludf.DUMMYFUNCTION("""COMPUTED_VALUE"""),"FHSA")</f>
        <v>FHSA</v>
      </c>
      <c r="B6" s="33" t="str">
        <f>IFERROR(__xludf.DUMMYFUNCTION("""COMPUTED_VALUE"""),"RRSP")</f>
        <v>RRSP</v>
      </c>
      <c r="C6" s="33" t="str">
        <f>IFERROR(__xludf.DUMMYFUNCTION("""COMPUTED_VALUE"""),"TFSA")</f>
        <v>TFSA</v>
      </c>
      <c r="D6" s="33"/>
      <c r="E6" s="33"/>
      <c r="F6" s="33"/>
      <c r="G6" s="33"/>
      <c r="H6" s="33"/>
      <c r="I6" s="33"/>
      <c r="J6" s="33"/>
      <c r="K6" s="33"/>
    </row>
    <row r="7">
      <c r="A7" s="33" t="str">
        <f>IFERROR(__xludf.DUMMYFUNCTION("""COMPUTED_VALUE"""),"Deposit")</f>
        <v>Deposit</v>
      </c>
      <c r="B7" s="33" t="str">
        <f>IFERROR(__xludf.DUMMYFUNCTION("""COMPUTED_VALUE"""),"Withdrawal")</f>
        <v>Withdrawal</v>
      </c>
      <c r="C7" s="33"/>
      <c r="D7" s="33"/>
      <c r="E7" s="33"/>
      <c r="F7" s="33"/>
      <c r="G7" s="33"/>
      <c r="H7" s="33"/>
      <c r="I7" s="33"/>
      <c r="J7" s="33"/>
      <c r="K7" s="33"/>
    </row>
    <row r="8">
      <c r="A8" s="33" t="str">
        <f>IFERROR(__xludf.DUMMYFUNCTION("""COMPUTED_VALUE"""),"FHSA")</f>
        <v>FHSA</v>
      </c>
      <c r="B8" s="33" t="str">
        <f>IFERROR(__xludf.DUMMYFUNCTION("""COMPUTED_VALUE"""),"RRSP")</f>
        <v>RRSP</v>
      </c>
      <c r="C8" s="33" t="str">
        <f>IFERROR(__xludf.DUMMYFUNCTION("""COMPUTED_VALUE"""),"TFSA")</f>
        <v>TFSA</v>
      </c>
      <c r="D8" s="33"/>
      <c r="E8" s="33"/>
      <c r="F8" s="33"/>
      <c r="G8" s="33"/>
      <c r="H8" s="33"/>
      <c r="I8" s="33"/>
      <c r="J8" s="33"/>
      <c r="K8" s="33"/>
    </row>
    <row r="9">
      <c r="A9" s="33" t="str">
        <f>IFERROR(__xludf.DUMMYFUNCTION("""COMPUTED_VALUE"""),"Deposit")</f>
        <v>Deposit</v>
      </c>
      <c r="B9" s="33" t="str">
        <f>IFERROR(__xludf.DUMMYFUNCTION("""COMPUTED_VALUE"""),"Withdrawal")</f>
        <v>Withdrawal</v>
      </c>
      <c r="C9" s="33"/>
      <c r="D9" s="33"/>
      <c r="E9" s="33"/>
      <c r="F9" s="33"/>
      <c r="G9" s="33"/>
      <c r="H9" s="33"/>
      <c r="I9" s="33"/>
      <c r="J9" s="33"/>
      <c r="K9" s="33"/>
    </row>
    <row r="10">
      <c r="A10" s="33" t="str">
        <f>IFERROR(__xludf.DUMMYFUNCTION("""COMPUTED_VALUE"""),"Car Fund")</f>
        <v>Car Fund</v>
      </c>
      <c r="B10" s="33" t="str">
        <f>IFERROR(__xludf.DUMMYFUNCTION("""COMPUTED_VALUE"""),"Emergency Fund")</f>
        <v>Emergency Fund</v>
      </c>
      <c r="C10" s="33" t="str">
        <f>IFERROR(__xludf.DUMMYFUNCTION("""COMPUTED_VALUE"""),"Family Fund")</f>
        <v>Family Fund</v>
      </c>
      <c r="D10" s="33" t="str">
        <f>IFERROR(__xludf.DUMMYFUNCTION("""COMPUTED_VALUE"""),"Kenji Fund")</f>
        <v>Kenji Fund</v>
      </c>
      <c r="E10" s="33" t="str">
        <f>IFERROR(__xludf.DUMMYFUNCTION("""COMPUTED_VALUE"""),"Mei Fund")</f>
        <v>Mei Fund</v>
      </c>
      <c r="F10" s="33" t="str">
        <f>IFERROR(__xludf.DUMMYFUNCTION("""COMPUTED_VALUE"""),"Pet Fund")</f>
        <v>Pet Fund</v>
      </c>
      <c r="G10" s="33" t="str">
        <f>IFERROR(__xludf.DUMMYFUNCTION("""COMPUTED_VALUE"""),"Vacation Fund")</f>
        <v>Vacation Fund</v>
      </c>
      <c r="H10" s="33"/>
      <c r="I10" s="33"/>
      <c r="J10" s="33"/>
      <c r="K10" s="33"/>
    </row>
    <row r="11">
      <c r="A11" s="33" t="str">
        <f>IFERROR(__xludf.DUMMYFUNCTION("""COMPUTED_VALUE"""),"Deposit")</f>
        <v>Deposit</v>
      </c>
      <c r="B11" s="33" t="str">
        <f>IFERROR(__xludf.DUMMYFUNCTION("""COMPUTED_VALUE"""),"Withdrawal")</f>
        <v>Withdrawal</v>
      </c>
      <c r="C11" s="33"/>
      <c r="D11" s="33"/>
      <c r="E11" s="33"/>
      <c r="F11" s="33"/>
      <c r="G11" s="33"/>
      <c r="H11" s="33"/>
      <c r="I11" s="33"/>
      <c r="J11" s="33"/>
      <c r="K11" s="33"/>
    </row>
    <row r="12">
      <c r="A12" s="33" t="str">
        <f>IFERROR(__xludf.DUMMYFUNCTION("""COMPUTED_VALUE"""),"Debt")</f>
        <v>Debt</v>
      </c>
      <c r="B12" s="33" t="str">
        <f>IFERROR(__xludf.DUMMYFUNCTION("""COMPUTED_VALUE"""),"Groceries")</f>
        <v>Groceries</v>
      </c>
      <c r="C12" s="33" t="str">
        <f>IFERROR(__xludf.DUMMYFUNCTION("""COMPUTED_VALUE"""),"Healthcare")</f>
        <v>Healthcare</v>
      </c>
      <c r="D12" s="33" t="str">
        <f>IFERROR(__xludf.DUMMYFUNCTION("""COMPUTED_VALUE"""),"Household Items")</f>
        <v>Household Items</v>
      </c>
      <c r="E12" s="33" t="str">
        <f>IFERROR(__xludf.DUMMYFUNCTION("""COMPUTED_VALUE"""),"Housing")</f>
        <v>Housing</v>
      </c>
      <c r="F12" s="33" t="str">
        <f>IFERROR(__xludf.DUMMYFUNCTION("""COMPUTED_VALUE"""),"Miscellaneous")</f>
        <v>Miscellaneous</v>
      </c>
      <c r="G12" s="33" t="str">
        <f>IFERROR(__xludf.DUMMYFUNCTION("""COMPUTED_VALUE"""),"Pet")</f>
        <v>Pet</v>
      </c>
      <c r="H12" s="33" t="str">
        <f>IFERROR(__xludf.DUMMYFUNCTION("""COMPUTED_VALUE"""),"Transportation")</f>
        <v>Transportation</v>
      </c>
      <c r="I12" s="33"/>
      <c r="J12" s="33"/>
      <c r="K12" s="33"/>
    </row>
    <row r="13">
      <c r="A13" s="33" t="str">
        <f>IFERROR(__xludf.DUMMYFUNCTION("""COMPUTED_VALUE"""),"Debt")</f>
        <v>Debt</v>
      </c>
      <c r="B13" s="33" t="str">
        <f>IFERROR(__xludf.DUMMYFUNCTION("""COMPUTED_VALUE"""),"Groceries")</f>
        <v>Groceries</v>
      </c>
      <c r="C13" s="33" t="str">
        <f>IFERROR(__xludf.DUMMYFUNCTION("""COMPUTED_VALUE"""),"Healthcare")</f>
        <v>Healthcare</v>
      </c>
      <c r="D13" s="33" t="str">
        <f>IFERROR(__xludf.DUMMYFUNCTION("""COMPUTED_VALUE"""),"Household Items")</f>
        <v>Household Items</v>
      </c>
      <c r="E13" s="33" t="str">
        <f>IFERROR(__xludf.DUMMYFUNCTION("""COMPUTED_VALUE"""),"Housing")</f>
        <v>Housing</v>
      </c>
      <c r="F13" s="33" t="str">
        <f>IFERROR(__xludf.DUMMYFUNCTION("""COMPUTED_VALUE"""),"Miscellaneous")</f>
        <v>Miscellaneous</v>
      </c>
      <c r="G13" s="33" t="str">
        <f>IFERROR(__xludf.DUMMYFUNCTION("""COMPUTED_VALUE"""),"Pet")</f>
        <v>Pet</v>
      </c>
      <c r="H13" s="33" t="str">
        <f>IFERROR(__xludf.DUMMYFUNCTION("""COMPUTED_VALUE"""),"Transportation")</f>
        <v>Transportation</v>
      </c>
      <c r="I13" s="33"/>
      <c r="J13" s="33"/>
      <c r="K13" s="33"/>
    </row>
    <row r="14">
      <c r="A14" s="33" t="str">
        <f>IFERROR(__xludf.DUMMYFUNCTION("""COMPUTED_VALUE"""),"Debt")</f>
        <v>Debt</v>
      </c>
      <c r="B14" s="33" t="str">
        <f>IFERROR(__xludf.DUMMYFUNCTION("""COMPUTED_VALUE"""),"Groceries")</f>
        <v>Groceries</v>
      </c>
      <c r="C14" s="33" t="str">
        <f>IFERROR(__xludf.DUMMYFUNCTION("""COMPUTED_VALUE"""),"Healthcare")</f>
        <v>Healthcare</v>
      </c>
      <c r="D14" s="33" t="str">
        <f>IFERROR(__xludf.DUMMYFUNCTION("""COMPUTED_VALUE"""),"Household Items")</f>
        <v>Household Items</v>
      </c>
      <c r="E14" s="33" t="str">
        <f>IFERROR(__xludf.DUMMYFUNCTION("""COMPUTED_VALUE"""),"Housing")</f>
        <v>Housing</v>
      </c>
      <c r="F14" s="33" t="str">
        <f>IFERROR(__xludf.DUMMYFUNCTION("""COMPUTED_VALUE"""),"Miscellaneous")</f>
        <v>Miscellaneous</v>
      </c>
      <c r="G14" s="33" t="str">
        <f>IFERROR(__xludf.DUMMYFUNCTION("""COMPUTED_VALUE"""),"Pet")</f>
        <v>Pet</v>
      </c>
      <c r="H14" s="33" t="str">
        <f>IFERROR(__xludf.DUMMYFUNCTION("""COMPUTED_VALUE"""),"Transportation")</f>
        <v>Transportation</v>
      </c>
      <c r="I14" s="33"/>
      <c r="J14" s="33"/>
      <c r="K14" s="33"/>
    </row>
    <row r="15">
      <c r="A15" s="33" t="str">
        <f>IFERROR(__xludf.DUMMYFUNCTION("""COMPUTED_VALUE"""),"Debt")</f>
        <v>Debt</v>
      </c>
      <c r="B15" s="33" t="str">
        <f>IFERROR(__xludf.DUMMYFUNCTION("""COMPUTED_VALUE"""),"Groceries")</f>
        <v>Groceries</v>
      </c>
      <c r="C15" s="33" t="str">
        <f>IFERROR(__xludf.DUMMYFUNCTION("""COMPUTED_VALUE"""),"Healthcare")</f>
        <v>Healthcare</v>
      </c>
      <c r="D15" s="33" t="str">
        <f>IFERROR(__xludf.DUMMYFUNCTION("""COMPUTED_VALUE"""),"Household Items")</f>
        <v>Household Items</v>
      </c>
      <c r="E15" s="33" t="str">
        <f>IFERROR(__xludf.DUMMYFUNCTION("""COMPUTED_VALUE"""),"Housing")</f>
        <v>Housing</v>
      </c>
      <c r="F15" s="33" t="str">
        <f>IFERROR(__xludf.DUMMYFUNCTION("""COMPUTED_VALUE"""),"Miscellaneous")</f>
        <v>Miscellaneous</v>
      </c>
      <c r="G15" s="33" t="str">
        <f>IFERROR(__xludf.DUMMYFUNCTION("""COMPUTED_VALUE"""),"Pet")</f>
        <v>Pet</v>
      </c>
      <c r="H15" s="33" t="str">
        <f>IFERROR(__xludf.DUMMYFUNCTION("""COMPUTED_VALUE"""),"Transportation")</f>
        <v>Transportation</v>
      </c>
      <c r="I15" s="33"/>
      <c r="J15" s="33"/>
      <c r="K15" s="33"/>
    </row>
    <row r="16">
      <c r="A16" s="33" t="str">
        <f>IFERROR(__xludf.DUMMYFUNCTION("""COMPUTED_VALUE"""),"Debt")</f>
        <v>Debt</v>
      </c>
      <c r="B16" s="33" t="str">
        <f>IFERROR(__xludf.DUMMYFUNCTION("""COMPUTED_VALUE"""),"Groceries")</f>
        <v>Groceries</v>
      </c>
      <c r="C16" s="33" t="str">
        <f>IFERROR(__xludf.DUMMYFUNCTION("""COMPUTED_VALUE"""),"Healthcare")</f>
        <v>Healthcare</v>
      </c>
      <c r="D16" s="33" t="str">
        <f>IFERROR(__xludf.DUMMYFUNCTION("""COMPUTED_VALUE"""),"Household Items")</f>
        <v>Household Items</v>
      </c>
      <c r="E16" s="33" t="str">
        <f>IFERROR(__xludf.DUMMYFUNCTION("""COMPUTED_VALUE"""),"Housing")</f>
        <v>Housing</v>
      </c>
      <c r="F16" s="33" t="str">
        <f>IFERROR(__xludf.DUMMYFUNCTION("""COMPUTED_VALUE"""),"Miscellaneous")</f>
        <v>Miscellaneous</v>
      </c>
      <c r="G16" s="33" t="str">
        <f>IFERROR(__xludf.DUMMYFUNCTION("""COMPUTED_VALUE"""),"Pet")</f>
        <v>Pet</v>
      </c>
      <c r="H16" s="33" t="str">
        <f>IFERROR(__xludf.DUMMYFUNCTION("""COMPUTED_VALUE"""),"Transportation")</f>
        <v>Transportation</v>
      </c>
      <c r="I16" s="33"/>
      <c r="J16" s="33"/>
      <c r="K16" s="33"/>
    </row>
    <row r="17">
      <c r="A17" s="33" t="str">
        <f>IFERROR(__xludf.DUMMYFUNCTION("""COMPUTED_VALUE"""),"Debt")</f>
        <v>Debt</v>
      </c>
      <c r="B17" s="33" t="str">
        <f>IFERROR(__xludf.DUMMYFUNCTION("""COMPUTED_VALUE"""),"Groceries")</f>
        <v>Groceries</v>
      </c>
      <c r="C17" s="33" t="str">
        <f>IFERROR(__xludf.DUMMYFUNCTION("""COMPUTED_VALUE"""),"Healthcare")</f>
        <v>Healthcare</v>
      </c>
      <c r="D17" s="33" t="str">
        <f>IFERROR(__xludf.DUMMYFUNCTION("""COMPUTED_VALUE"""),"Household Items")</f>
        <v>Household Items</v>
      </c>
      <c r="E17" s="33" t="str">
        <f>IFERROR(__xludf.DUMMYFUNCTION("""COMPUTED_VALUE"""),"Housing")</f>
        <v>Housing</v>
      </c>
      <c r="F17" s="33" t="str">
        <f>IFERROR(__xludf.DUMMYFUNCTION("""COMPUTED_VALUE"""),"Miscellaneous")</f>
        <v>Miscellaneous</v>
      </c>
      <c r="G17" s="33" t="str">
        <f>IFERROR(__xludf.DUMMYFUNCTION("""COMPUTED_VALUE"""),"Pet")</f>
        <v>Pet</v>
      </c>
      <c r="H17" s="33" t="str">
        <f>IFERROR(__xludf.DUMMYFUNCTION("""COMPUTED_VALUE"""),"Transportation")</f>
        <v>Transportation</v>
      </c>
      <c r="I17" s="33"/>
      <c r="J17" s="33"/>
      <c r="K17" s="33"/>
    </row>
    <row r="18">
      <c r="A18" s="33" t="str">
        <f>IFERROR(__xludf.DUMMYFUNCTION("""COMPUTED_VALUE"""),"Debt")</f>
        <v>Debt</v>
      </c>
      <c r="B18" s="33" t="str">
        <f>IFERROR(__xludf.DUMMYFUNCTION("""COMPUTED_VALUE"""),"Groceries")</f>
        <v>Groceries</v>
      </c>
      <c r="C18" s="33" t="str">
        <f>IFERROR(__xludf.DUMMYFUNCTION("""COMPUTED_VALUE"""),"Healthcare")</f>
        <v>Healthcare</v>
      </c>
      <c r="D18" s="33" t="str">
        <f>IFERROR(__xludf.DUMMYFUNCTION("""COMPUTED_VALUE"""),"Household Items")</f>
        <v>Household Items</v>
      </c>
      <c r="E18" s="33" t="str">
        <f>IFERROR(__xludf.DUMMYFUNCTION("""COMPUTED_VALUE"""),"Housing")</f>
        <v>Housing</v>
      </c>
      <c r="F18" s="33" t="str">
        <f>IFERROR(__xludf.DUMMYFUNCTION("""COMPUTED_VALUE"""),"Miscellaneous")</f>
        <v>Miscellaneous</v>
      </c>
      <c r="G18" s="33" t="str">
        <f>IFERROR(__xludf.DUMMYFUNCTION("""COMPUTED_VALUE"""),"Pet")</f>
        <v>Pet</v>
      </c>
      <c r="H18" s="33" t="str">
        <f>IFERROR(__xludf.DUMMYFUNCTION("""COMPUTED_VALUE"""),"Transportation")</f>
        <v>Transportation</v>
      </c>
      <c r="I18" s="33"/>
      <c r="J18" s="33"/>
      <c r="K18" s="33"/>
    </row>
    <row r="19">
      <c r="A19" s="33" t="str">
        <f>IFERROR(__xludf.DUMMYFUNCTION("""COMPUTED_VALUE"""),"Debt")</f>
        <v>Debt</v>
      </c>
      <c r="B19" s="33" t="str">
        <f>IFERROR(__xludf.DUMMYFUNCTION("""COMPUTED_VALUE"""),"Groceries")</f>
        <v>Groceries</v>
      </c>
      <c r="C19" s="33" t="str">
        <f>IFERROR(__xludf.DUMMYFUNCTION("""COMPUTED_VALUE"""),"Healthcare")</f>
        <v>Healthcare</v>
      </c>
      <c r="D19" s="33" t="str">
        <f>IFERROR(__xludf.DUMMYFUNCTION("""COMPUTED_VALUE"""),"Household Items")</f>
        <v>Household Items</v>
      </c>
      <c r="E19" s="33" t="str">
        <f>IFERROR(__xludf.DUMMYFUNCTION("""COMPUTED_VALUE"""),"Housing")</f>
        <v>Housing</v>
      </c>
      <c r="F19" s="33" t="str">
        <f>IFERROR(__xludf.DUMMYFUNCTION("""COMPUTED_VALUE"""),"Miscellaneous")</f>
        <v>Miscellaneous</v>
      </c>
      <c r="G19" s="33" t="str">
        <f>IFERROR(__xludf.DUMMYFUNCTION("""COMPUTED_VALUE"""),"Pet")</f>
        <v>Pet</v>
      </c>
      <c r="H19" s="33" t="str">
        <f>IFERROR(__xludf.DUMMYFUNCTION("""COMPUTED_VALUE"""),"Transportation")</f>
        <v>Transportation</v>
      </c>
      <c r="I19" s="33"/>
      <c r="J19" s="33"/>
      <c r="K19" s="33"/>
    </row>
    <row r="20">
      <c r="A20" s="33" t="str">
        <f>IFERROR(__xludf.DUMMYFUNCTION("""COMPUTED_VALUE"""),"Debt")</f>
        <v>Debt</v>
      </c>
      <c r="B20" s="33" t="str">
        <f>IFERROR(__xludf.DUMMYFUNCTION("""COMPUTED_VALUE"""),"Groceries")</f>
        <v>Groceries</v>
      </c>
      <c r="C20" s="33" t="str">
        <f>IFERROR(__xludf.DUMMYFUNCTION("""COMPUTED_VALUE"""),"Healthcare")</f>
        <v>Healthcare</v>
      </c>
      <c r="D20" s="33" t="str">
        <f>IFERROR(__xludf.DUMMYFUNCTION("""COMPUTED_VALUE"""),"Household Items")</f>
        <v>Household Items</v>
      </c>
      <c r="E20" s="33" t="str">
        <f>IFERROR(__xludf.DUMMYFUNCTION("""COMPUTED_VALUE"""),"Housing")</f>
        <v>Housing</v>
      </c>
      <c r="F20" s="33" t="str">
        <f>IFERROR(__xludf.DUMMYFUNCTION("""COMPUTED_VALUE"""),"Miscellaneous")</f>
        <v>Miscellaneous</v>
      </c>
      <c r="G20" s="33" t="str">
        <f>IFERROR(__xludf.DUMMYFUNCTION("""COMPUTED_VALUE"""),"Pet")</f>
        <v>Pet</v>
      </c>
      <c r="H20" s="33" t="str">
        <f>IFERROR(__xludf.DUMMYFUNCTION("""COMPUTED_VALUE"""),"Transportation")</f>
        <v>Transportation</v>
      </c>
      <c r="I20" s="33"/>
      <c r="J20" s="33"/>
      <c r="K20" s="33"/>
    </row>
    <row r="21">
      <c r="A21" s="33" t="str">
        <f>IFERROR(__xludf.DUMMYFUNCTION("""COMPUTED_VALUE"""),"Debt")</f>
        <v>Debt</v>
      </c>
      <c r="B21" s="33" t="str">
        <f>IFERROR(__xludf.DUMMYFUNCTION("""COMPUTED_VALUE"""),"Groceries")</f>
        <v>Groceries</v>
      </c>
      <c r="C21" s="33" t="str">
        <f>IFERROR(__xludf.DUMMYFUNCTION("""COMPUTED_VALUE"""),"Healthcare")</f>
        <v>Healthcare</v>
      </c>
      <c r="D21" s="33" t="str">
        <f>IFERROR(__xludf.DUMMYFUNCTION("""COMPUTED_VALUE"""),"Household Items")</f>
        <v>Household Items</v>
      </c>
      <c r="E21" s="33" t="str">
        <f>IFERROR(__xludf.DUMMYFUNCTION("""COMPUTED_VALUE"""),"Housing")</f>
        <v>Housing</v>
      </c>
      <c r="F21" s="33" t="str">
        <f>IFERROR(__xludf.DUMMYFUNCTION("""COMPUTED_VALUE"""),"Miscellaneous")</f>
        <v>Miscellaneous</v>
      </c>
      <c r="G21" s="33" t="str">
        <f>IFERROR(__xludf.DUMMYFUNCTION("""COMPUTED_VALUE"""),"Pet")</f>
        <v>Pet</v>
      </c>
      <c r="H21" s="33" t="str">
        <f>IFERROR(__xludf.DUMMYFUNCTION("""COMPUTED_VALUE"""),"Transportation")</f>
        <v>Transportation</v>
      </c>
      <c r="I21" s="33"/>
      <c r="J21" s="33"/>
      <c r="K21" s="33"/>
    </row>
    <row r="22">
      <c r="A22" s="33" t="str">
        <f>IFERROR(__xludf.DUMMYFUNCTION("""COMPUTED_VALUE"""),"Debt")</f>
        <v>Debt</v>
      </c>
      <c r="B22" s="33" t="str">
        <f>IFERROR(__xludf.DUMMYFUNCTION("""COMPUTED_VALUE"""),"Groceries")</f>
        <v>Groceries</v>
      </c>
      <c r="C22" s="33" t="str">
        <f>IFERROR(__xludf.DUMMYFUNCTION("""COMPUTED_VALUE"""),"Healthcare")</f>
        <v>Healthcare</v>
      </c>
      <c r="D22" s="33" t="str">
        <f>IFERROR(__xludf.DUMMYFUNCTION("""COMPUTED_VALUE"""),"Household Items")</f>
        <v>Household Items</v>
      </c>
      <c r="E22" s="33" t="str">
        <f>IFERROR(__xludf.DUMMYFUNCTION("""COMPUTED_VALUE"""),"Housing")</f>
        <v>Housing</v>
      </c>
      <c r="F22" s="33" t="str">
        <f>IFERROR(__xludf.DUMMYFUNCTION("""COMPUTED_VALUE"""),"Miscellaneous")</f>
        <v>Miscellaneous</v>
      </c>
      <c r="G22" s="33" t="str">
        <f>IFERROR(__xludf.DUMMYFUNCTION("""COMPUTED_VALUE"""),"Pet")</f>
        <v>Pet</v>
      </c>
      <c r="H22" s="33" t="str">
        <f>IFERROR(__xludf.DUMMYFUNCTION("""COMPUTED_VALUE"""),"Transportation")</f>
        <v>Transportation</v>
      </c>
      <c r="I22" s="33"/>
      <c r="J22" s="33"/>
      <c r="K22" s="33"/>
    </row>
    <row r="23">
      <c r="A23" s="33" t="str">
        <f>IFERROR(__xludf.DUMMYFUNCTION("""COMPUTED_VALUE"""),"Debt")</f>
        <v>Debt</v>
      </c>
      <c r="B23" s="33" t="str">
        <f>IFERROR(__xludf.DUMMYFUNCTION("""COMPUTED_VALUE"""),"Groceries")</f>
        <v>Groceries</v>
      </c>
      <c r="C23" s="33" t="str">
        <f>IFERROR(__xludf.DUMMYFUNCTION("""COMPUTED_VALUE"""),"Healthcare")</f>
        <v>Healthcare</v>
      </c>
      <c r="D23" s="33" t="str">
        <f>IFERROR(__xludf.DUMMYFUNCTION("""COMPUTED_VALUE"""),"Household Items")</f>
        <v>Household Items</v>
      </c>
      <c r="E23" s="33" t="str">
        <f>IFERROR(__xludf.DUMMYFUNCTION("""COMPUTED_VALUE"""),"Housing")</f>
        <v>Housing</v>
      </c>
      <c r="F23" s="33" t="str">
        <f>IFERROR(__xludf.DUMMYFUNCTION("""COMPUTED_VALUE"""),"Miscellaneous")</f>
        <v>Miscellaneous</v>
      </c>
      <c r="G23" s="33" t="str">
        <f>IFERROR(__xludf.DUMMYFUNCTION("""COMPUTED_VALUE"""),"Pet")</f>
        <v>Pet</v>
      </c>
      <c r="H23" s="33" t="str">
        <f>IFERROR(__xludf.DUMMYFUNCTION("""COMPUTED_VALUE"""),"Transportation")</f>
        <v>Transportation</v>
      </c>
      <c r="I23" s="33"/>
      <c r="J23" s="33"/>
      <c r="K23" s="33"/>
    </row>
    <row r="24">
      <c r="A24" s="33" t="str">
        <f>IFERROR(__xludf.DUMMYFUNCTION("""COMPUTED_VALUE"""),"Debt")</f>
        <v>Debt</v>
      </c>
      <c r="B24" s="33" t="str">
        <f>IFERROR(__xludf.DUMMYFUNCTION("""COMPUTED_VALUE"""),"Groceries")</f>
        <v>Groceries</v>
      </c>
      <c r="C24" s="33" t="str">
        <f>IFERROR(__xludf.DUMMYFUNCTION("""COMPUTED_VALUE"""),"Healthcare")</f>
        <v>Healthcare</v>
      </c>
      <c r="D24" s="33" t="str">
        <f>IFERROR(__xludf.DUMMYFUNCTION("""COMPUTED_VALUE"""),"Household Items")</f>
        <v>Household Items</v>
      </c>
      <c r="E24" s="33" t="str">
        <f>IFERROR(__xludf.DUMMYFUNCTION("""COMPUTED_VALUE"""),"Housing")</f>
        <v>Housing</v>
      </c>
      <c r="F24" s="33" t="str">
        <f>IFERROR(__xludf.DUMMYFUNCTION("""COMPUTED_VALUE"""),"Miscellaneous")</f>
        <v>Miscellaneous</v>
      </c>
      <c r="G24" s="33" t="str">
        <f>IFERROR(__xludf.DUMMYFUNCTION("""COMPUTED_VALUE"""),"Pet")</f>
        <v>Pet</v>
      </c>
      <c r="H24" s="33" t="str">
        <f>IFERROR(__xludf.DUMMYFUNCTION("""COMPUTED_VALUE"""),"Transportation")</f>
        <v>Transportation</v>
      </c>
      <c r="I24" s="33"/>
      <c r="J24" s="33"/>
      <c r="K24" s="33"/>
    </row>
    <row r="25">
      <c r="A25" s="33" t="str">
        <f>IFERROR(__xludf.DUMMYFUNCTION("""COMPUTED_VALUE"""),"Debt")</f>
        <v>Debt</v>
      </c>
      <c r="B25" s="33" t="str">
        <f>IFERROR(__xludf.DUMMYFUNCTION("""COMPUTED_VALUE"""),"Groceries")</f>
        <v>Groceries</v>
      </c>
      <c r="C25" s="33" t="str">
        <f>IFERROR(__xludf.DUMMYFUNCTION("""COMPUTED_VALUE"""),"Healthcare")</f>
        <v>Healthcare</v>
      </c>
      <c r="D25" s="33" t="str">
        <f>IFERROR(__xludf.DUMMYFUNCTION("""COMPUTED_VALUE"""),"Household Items")</f>
        <v>Household Items</v>
      </c>
      <c r="E25" s="33" t="str">
        <f>IFERROR(__xludf.DUMMYFUNCTION("""COMPUTED_VALUE"""),"Housing")</f>
        <v>Housing</v>
      </c>
      <c r="F25" s="33" t="str">
        <f>IFERROR(__xludf.DUMMYFUNCTION("""COMPUTED_VALUE"""),"Miscellaneous")</f>
        <v>Miscellaneous</v>
      </c>
      <c r="G25" s="33" t="str">
        <f>IFERROR(__xludf.DUMMYFUNCTION("""COMPUTED_VALUE"""),"Pet")</f>
        <v>Pet</v>
      </c>
      <c r="H25" s="33" t="str">
        <f>IFERROR(__xludf.DUMMYFUNCTION("""COMPUTED_VALUE"""),"Transportation")</f>
        <v>Transportation</v>
      </c>
      <c r="I25" s="33"/>
      <c r="J25" s="33"/>
      <c r="K25" s="33"/>
    </row>
    <row r="26">
      <c r="A26" s="33" t="str">
        <f>IFERROR(__xludf.DUMMYFUNCTION("""COMPUTED_VALUE"""),"Debt")</f>
        <v>Debt</v>
      </c>
      <c r="B26" s="33" t="str">
        <f>IFERROR(__xludf.DUMMYFUNCTION("""COMPUTED_VALUE"""),"Groceries")</f>
        <v>Groceries</v>
      </c>
      <c r="C26" s="33" t="str">
        <f>IFERROR(__xludf.DUMMYFUNCTION("""COMPUTED_VALUE"""),"Healthcare")</f>
        <v>Healthcare</v>
      </c>
      <c r="D26" s="33" t="str">
        <f>IFERROR(__xludf.DUMMYFUNCTION("""COMPUTED_VALUE"""),"Household Items")</f>
        <v>Household Items</v>
      </c>
      <c r="E26" s="33" t="str">
        <f>IFERROR(__xludf.DUMMYFUNCTION("""COMPUTED_VALUE"""),"Housing")</f>
        <v>Housing</v>
      </c>
      <c r="F26" s="33" t="str">
        <f>IFERROR(__xludf.DUMMYFUNCTION("""COMPUTED_VALUE"""),"Miscellaneous")</f>
        <v>Miscellaneous</v>
      </c>
      <c r="G26" s="33" t="str">
        <f>IFERROR(__xludf.DUMMYFUNCTION("""COMPUTED_VALUE"""),"Pet")</f>
        <v>Pet</v>
      </c>
      <c r="H26" s="33" t="str">
        <f>IFERROR(__xludf.DUMMYFUNCTION("""COMPUTED_VALUE"""),"Transportation")</f>
        <v>Transportation</v>
      </c>
      <c r="I26" s="33"/>
      <c r="J26" s="33"/>
      <c r="K26" s="33"/>
    </row>
    <row r="27">
      <c r="A27" s="33" t="str">
        <f>IFERROR(__xludf.DUMMYFUNCTION("""COMPUTED_VALUE"""),"Debt")</f>
        <v>Debt</v>
      </c>
      <c r="B27" s="33" t="str">
        <f>IFERROR(__xludf.DUMMYFUNCTION("""COMPUTED_VALUE"""),"Groceries")</f>
        <v>Groceries</v>
      </c>
      <c r="C27" s="33" t="str">
        <f>IFERROR(__xludf.DUMMYFUNCTION("""COMPUTED_VALUE"""),"Healthcare")</f>
        <v>Healthcare</v>
      </c>
      <c r="D27" s="33" t="str">
        <f>IFERROR(__xludf.DUMMYFUNCTION("""COMPUTED_VALUE"""),"Household Items")</f>
        <v>Household Items</v>
      </c>
      <c r="E27" s="33" t="str">
        <f>IFERROR(__xludf.DUMMYFUNCTION("""COMPUTED_VALUE"""),"Housing")</f>
        <v>Housing</v>
      </c>
      <c r="F27" s="33" t="str">
        <f>IFERROR(__xludf.DUMMYFUNCTION("""COMPUTED_VALUE"""),"Miscellaneous")</f>
        <v>Miscellaneous</v>
      </c>
      <c r="G27" s="33" t="str">
        <f>IFERROR(__xludf.DUMMYFUNCTION("""COMPUTED_VALUE"""),"Pet")</f>
        <v>Pet</v>
      </c>
      <c r="H27" s="33" t="str">
        <f>IFERROR(__xludf.DUMMYFUNCTION("""COMPUTED_VALUE"""),"Transportation")</f>
        <v>Transportation</v>
      </c>
      <c r="I27" s="33"/>
      <c r="J27" s="33"/>
      <c r="K27" s="33"/>
    </row>
    <row r="28">
      <c r="A28" s="33" t="str">
        <f>IFERROR(__xludf.DUMMYFUNCTION("""COMPUTED_VALUE"""),"Debt")</f>
        <v>Debt</v>
      </c>
      <c r="B28" s="33" t="str">
        <f>IFERROR(__xludf.DUMMYFUNCTION("""COMPUTED_VALUE"""),"Groceries")</f>
        <v>Groceries</v>
      </c>
      <c r="C28" s="33" t="str">
        <f>IFERROR(__xludf.DUMMYFUNCTION("""COMPUTED_VALUE"""),"Healthcare")</f>
        <v>Healthcare</v>
      </c>
      <c r="D28" s="33" t="str">
        <f>IFERROR(__xludf.DUMMYFUNCTION("""COMPUTED_VALUE"""),"Household Items")</f>
        <v>Household Items</v>
      </c>
      <c r="E28" s="33" t="str">
        <f>IFERROR(__xludf.DUMMYFUNCTION("""COMPUTED_VALUE"""),"Housing")</f>
        <v>Housing</v>
      </c>
      <c r="F28" s="33" t="str">
        <f>IFERROR(__xludf.DUMMYFUNCTION("""COMPUTED_VALUE"""),"Miscellaneous")</f>
        <v>Miscellaneous</v>
      </c>
      <c r="G28" s="33" t="str">
        <f>IFERROR(__xludf.DUMMYFUNCTION("""COMPUTED_VALUE"""),"Pet")</f>
        <v>Pet</v>
      </c>
      <c r="H28" s="33" t="str">
        <f>IFERROR(__xludf.DUMMYFUNCTION("""COMPUTED_VALUE"""),"Transportation")</f>
        <v>Transportation</v>
      </c>
      <c r="I28" s="33"/>
      <c r="J28" s="33"/>
      <c r="K28" s="33"/>
    </row>
    <row r="29">
      <c r="A29" s="33" t="str">
        <f>IFERROR(__xludf.DUMMYFUNCTION("""COMPUTED_VALUE"""),"Dining Out")</f>
        <v>Dining Out</v>
      </c>
      <c r="B29" s="33" t="str">
        <f>IFERROR(__xludf.DUMMYFUNCTION("""COMPUTED_VALUE"""),"Entertainment")</f>
        <v>Entertainment</v>
      </c>
      <c r="C29" s="33" t="str">
        <f>IFERROR(__xludf.DUMMYFUNCTION("""COMPUTED_VALUE"""),"Gaming")</f>
        <v>Gaming</v>
      </c>
      <c r="D29" s="33" t="str">
        <f>IFERROR(__xludf.DUMMYFUNCTION("""COMPUTED_VALUE"""),"Gifts")</f>
        <v>Gifts</v>
      </c>
      <c r="E29" s="33" t="str">
        <f>IFERROR(__xludf.DUMMYFUNCTION("""COMPUTED_VALUE"""),"Groceries")</f>
        <v>Groceries</v>
      </c>
      <c r="F29" s="33" t="str">
        <f>IFERROR(__xludf.DUMMYFUNCTION("""COMPUTED_VALUE"""),"Healthcare")</f>
        <v>Healthcare</v>
      </c>
      <c r="G29" s="33" t="str">
        <f>IFERROR(__xludf.DUMMYFUNCTION("""COMPUTED_VALUE"""),"Hobbies")</f>
        <v>Hobbies</v>
      </c>
      <c r="H29" s="33" t="str">
        <f>IFERROR(__xludf.DUMMYFUNCTION("""COMPUTED_VALUE"""),"Household Items")</f>
        <v>Household Items</v>
      </c>
      <c r="I29" s="33" t="str">
        <f>IFERROR(__xludf.DUMMYFUNCTION("""COMPUTED_VALUE"""),"Subscriptions")</f>
        <v>Subscriptions</v>
      </c>
      <c r="J29" s="33" t="str">
        <f>IFERROR(__xludf.DUMMYFUNCTION("""COMPUTED_VALUE"""),"Transportation")</f>
        <v>Transportation</v>
      </c>
      <c r="K29" s="33" t="str">
        <f>IFERROR(__xludf.DUMMYFUNCTION("""COMPUTED_VALUE"""),"Travel")</f>
        <v>Travel</v>
      </c>
    </row>
    <row r="30">
      <c r="A30" s="33" t="str">
        <f>IFERROR(__xludf.DUMMYFUNCTION("""COMPUTED_VALUE"""),"Debt")</f>
        <v>Debt</v>
      </c>
      <c r="B30" s="33" t="str">
        <f>IFERROR(__xludf.DUMMYFUNCTION("""COMPUTED_VALUE"""),"Groceries")</f>
        <v>Groceries</v>
      </c>
      <c r="C30" s="33" t="str">
        <f>IFERROR(__xludf.DUMMYFUNCTION("""COMPUTED_VALUE"""),"Healthcare")</f>
        <v>Healthcare</v>
      </c>
      <c r="D30" s="33" t="str">
        <f>IFERROR(__xludf.DUMMYFUNCTION("""COMPUTED_VALUE"""),"Household Items")</f>
        <v>Household Items</v>
      </c>
      <c r="E30" s="33" t="str">
        <f>IFERROR(__xludf.DUMMYFUNCTION("""COMPUTED_VALUE"""),"Housing")</f>
        <v>Housing</v>
      </c>
      <c r="F30" s="33" t="str">
        <f>IFERROR(__xludf.DUMMYFUNCTION("""COMPUTED_VALUE"""),"Miscellaneous")</f>
        <v>Miscellaneous</v>
      </c>
      <c r="G30" s="33" t="str">
        <f>IFERROR(__xludf.DUMMYFUNCTION("""COMPUTED_VALUE"""),"Pet")</f>
        <v>Pet</v>
      </c>
      <c r="H30" s="33" t="str">
        <f>IFERROR(__xludf.DUMMYFUNCTION("""COMPUTED_VALUE"""),"Transportation")</f>
        <v>Transportation</v>
      </c>
      <c r="I30" s="33"/>
      <c r="J30" s="33"/>
      <c r="K30" s="33"/>
    </row>
    <row r="31">
      <c r="A31" s="33" t="str">
        <f>IFERROR(__xludf.DUMMYFUNCTION("""COMPUTED_VALUE"""),"Debt")</f>
        <v>Debt</v>
      </c>
      <c r="B31" s="33" t="str">
        <f>IFERROR(__xludf.DUMMYFUNCTION("""COMPUTED_VALUE"""),"Groceries")</f>
        <v>Groceries</v>
      </c>
      <c r="C31" s="33" t="str">
        <f>IFERROR(__xludf.DUMMYFUNCTION("""COMPUTED_VALUE"""),"Healthcare")</f>
        <v>Healthcare</v>
      </c>
      <c r="D31" s="33" t="str">
        <f>IFERROR(__xludf.DUMMYFUNCTION("""COMPUTED_VALUE"""),"Household Items")</f>
        <v>Household Items</v>
      </c>
      <c r="E31" s="33" t="str">
        <f>IFERROR(__xludf.DUMMYFUNCTION("""COMPUTED_VALUE"""),"Housing")</f>
        <v>Housing</v>
      </c>
      <c r="F31" s="33" t="str">
        <f>IFERROR(__xludf.DUMMYFUNCTION("""COMPUTED_VALUE"""),"Miscellaneous")</f>
        <v>Miscellaneous</v>
      </c>
      <c r="G31" s="33" t="str">
        <f>IFERROR(__xludf.DUMMYFUNCTION("""COMPUTED_VALUE"""),"Pet")</f>
        <v>Pet</v>
      </c>
      <c r="H31" s="33" t="str">
        <f>IFERROR(__xludf.DUMMYFUNCTION("""COMPUTED_VALUE"""),"Transportation")</f>
        <v>Transportation</v>
      </c>
      <c r="I31" s="33"/>
      <c r="J31" s="33"/>
      <c r="K31" s="33"/>
    </row>
    <row r="32">
      <c r="A32" s="33" t="str">
        <f>IFERROR(__xludf.DUMMYFUNCTION("""COMPUTED_VALUE"""),"Debt")</f>
        <v>Debt</v>
      </c>
      <c r="B32" s="33" t="str">
        <f>IFERROR(__xludf.DUMMYFUNCTION("""COMPUTED_VALUE"""),"Groceries")</f>
        <v>Groceries</v>
      </c>
      <c r="C32" s="33" t="str">
        <f>IFERROR(__xludf.DUMMYFUNCTION("""COMPUTED_VALUE"""),"Healthcare")</f>
        <v>Healthcare</v>
      </c>
      <c r="D32" s="33" t="str">
        <f>IFERROR(__xludf.DUMMYFUNCTION("""COMPUTED_VALUE"""),"Household Items")</f>
        <v>Household Items</v>
      </c>
      <c r="E32" s="33" t="str">
        <f>IFERROR(__xludf.DUMMYFUNCTION("""COMPUTED_VALUE"""),"Housing")</f>
        <v>Housing</v>
      </c>
      <c r="F32" s="33" t="str">
        <f>IFERROR(__xludf.DUMMYFUNCTION("""COMPUTED_VALUE"""),"Miscellaneous")</f>
        <v>Miscellaneous</v>
      </c>
      <c r="G32" s="33" t="str">
        <f>IFERROR(__xludf.DUMMYFUNCTION("""COMPUTED_VALUE"""),"Pet")</f>
        <v>Pet</v>
      </c>
      <c r="H32" s="33" t="str">
        <f>IFERROR(__xludf.DUMMYFUNCTION("""COMPUTED_VALUE"""),"Transportation")</f>
        <v>Transportation</v>
      </c>
      <c r="I32" s="33"/>
      <c r="J32" s="33"/>
      <c r="K32" s="33"/>
    </row>
    <row r="33">
      <c r="A33" s="33" t="str">
        <f>IFERROR(__xludf.DUMMYFUNCTION("""COMPUTED_VALUE"""),"Debt")</f>
        <v>Debt</v>
      </c>
      <c r="B33" s="33" t="str">
        <f>IFERROR(__xludf.DUMMYFUNCTION("""COMPUTED_VALUE"""),"Groceries")</f>
        <v>Groceries</v>
      </c>
      <c r="C33" s="33" t="str">
        <f>IFERROR(__xludf.DUMMYFUNCTION("""COMPUTED_VALUE"""),"Healthcare")</f>
        <v>Healthcare</v>
      </c>
      <c r="D33" s="33" t="str">
        <f>IFERROR(__xludf.DUMMYFUNCTION("""COMPUTED_VALUE"""),"Household Items")</f>
        <v>Household Items</v>
      </c>
      <c r="E33" s="33" t="str">
        <f>IFERROR(__xludf.DUMMYFUNCTION("""COMPUTED_VALUE"""),"Housing")</f>
        <v>Housing</v>
      </c>
      <c r="F33" s="33" t="str">
        <f>IFERROR(__xludf.DUMMYFUNCTION("""COMPUTED_VALUE"""),"Miscellaneous")</f>
        <v>Miscellaneous</v>
      </c>
      <c r="G33" s="33" t="str">
        <f>IFERROR(__xludf.DUMMYFUNCTION("""COMPUTED_VALUE"""),"Pet")</f>
        <v>Pet</v>
      </c>
      <c r="H33" s="33" t="str">
        <f>IFERROR(__xludf.DUMMYFUNCTION("""COMPUTED_VALUE"""),"Transportation")</f>
        <v>Transportation</v>
      </c>
      <c r="I33" s="33"/>
      <c r="J33" s="33"/>
      <c r="K33" s="33"/>
    </row>
    <row r="34">
      <c r="A34" s="33" t="str">
        <f>IFERROR(__xludf.DUMMYFUNCTION("""COMPUTED_VALUE"""),"Debt")</f>
        <v>Debt</v>
      </c>
      <c r="B34" s="33" t="str">
        <f>IFERROR(__xludf.DUMMYFUNCTION("""COMPUTED_VALUE"""),"Groceries")</f>
        <v>Groceries</v>
      </c>
      <c r="C34" s="33" t="str">
        <f>IFERROR(__xludf.DUMMYFUNCTION("""COMPUTED_VALUE"""),"Healthcare")</f>
        <v>Healthcare</v>
      </c>
      <c r="D34" s="33" t="str">
        <f>IFERROR(__xludf.DUMMYFUNCTION("""COMPUTED_VALUE"""),"Household Items")</f>
        <v>Household Items</v>
      </c>
      <c r="E34" s="33" t="str">
        <f>IFERROR(__xludf.DUMMYFUNCTION("""COMPUTED_VALUE"""),"Housing")</f>
        <v>Housing</v>
      </c>
      <c r="F34" s="33" t="str">
        <f>IFERROR(__xludf.DUMMYFUNCTION("""COMPUTED_VALUE"""),"Miscellaneous")</f>
        <v>Miscellaneous</v>
      </c>
      <c r="G34" s="33" t="str">
        <f>IFERROR(__xludf.DUMMYFUNCTION("""COMPUTED_VALUE"""),"Pet")</f>
        <v>Pet</v>
      </c>
      <c r="H34" s="33" t="str">
        <f>IFERROR(__xludf.DUMMYFUNCTION("""COMPUTED_VALUE"""),"Transportation")</f>
        <v>Transportation</v>
      </c>
      <c r="I34" s="33"/>
      <c r="J34" s="33"/>
      <c r="K34" s="33"/>
    </row>
    <row r="35">
      <c r="A35" s="33" t="str">
        <f>IFERROR(__xludf.DUMMYFUNCTION("""COMPUTED_VALUE"""),"Debt")</f>
        <v>Debt</v>
      </c>
      <c r="B35" s="33" t="str">
        <f>IFERROR(__xludf.DUMMYFUNCTION("""COMPUTED_VALUE"""),"Groceries")</f>
        <v>Groceries</v>
      </c>
      <c r="C35" s="33" t="str">
        <f>IFERROR(__xludf.DUMMYFUNCTION("""COMPUTED_VALUE"""),"Healthcare")</f>
        <v>Healthcare</v>
      </c>
      <c r="D35" s="33" t="str">
        <f>IFERROR(__xludf.DUMMYFUNCTION("""COMPUTED_VALUE"""),"Household Items")</f>
        <v>Household Items</v>
      </c>
      <c r="E35" s="33" t="str">
        <f>IFERROR(__xludf.DUMMYFUNCTION("""COMPUTED_VALUE"""),"Housing")</f>
        <v>Housing</v>
      </c>
      <c r="F35" s="33" t="str">
        <f>IFERROR(__xludf.DUMMYFUNCTION("""COMPUTED_VALUE"""),"Miscellaneous")</f>
        <v>Miscellaneous</v>
      </c>
      <c r="G35" s="33" t="str">
        <f>IFERROR(__xludf.DUMMYFUNCTION("""COMPUTED_VALUE"""),"Pet")</f>
        <v>Pet</v>
      </c>
      <c r="H35" s="33" t="str">
        <f>IFERROR(__xludf.DUMMYFUNCTION("""COMPUTED_VALUE"""),"Transportation")</f>
        <v>Transportation</v>
      </c>
      <c r="I35" s="33"/>
      <c r="J35" s="33"/>
      <c r="K35" s="33"/>
    </row>
    <row r="36">
      <c r="A36" s="33" t="str">
        <f>IFERROR(__xludf.DUMMYFUNCTION("""COMPUTED_VALUE"""),"Debt")</f>
        <v>Debt</v>
      </c>
      <c r="B36" s="33" t="str">
        <f>IFERROR(__xludf.DUMMYFUNCTION("""COMPUTED_VALUE"""),"Groceries")</f>
        <v>Groceries</v>
      </c>
      <c r="C36" s="33" t="str">
        <f>IFERROR(__xludf.DUMMYFUNCTION("""COMPUTED_VALUE"""),"Healthcare")</f>
        <v>Healthcare</v>
      </c>
      <c r="D36" s="33" t="str">
        <f>IFERROR(__xludf.DUMMYFUNCTION("""COMPUTED_VALUE"""),"Household Items")</f>
        <v>Household Items</v>
      </c>
      <c r="E36" s="33" t="str">
        <f>IFERROR(__xludf.DUMMYFUNCTION("""COMPUTED_VALUE"""),"Housing")</f>
        <v>Housing</v>
      </c>
      <c r="F36" s="33" t="str">
        <f>IFERROR(__xludf.DUMMYFUNCTION("""COMPUTED_VALUE"""),"Miscellaneous")</f>
        <v>Miscellaneous</v>
      </c>
      <c r="G36" s="33" t="str">
        <f>IFERROR(__xludf.DUMMYFUNCTION("""COMPUTED_VALUE"""),"Pet")</f>
        <v>Pet</v>
      </c>
      <c r="H36" s="33" t="str">
        <f>IFERROR(__xludf.DUMMYFUNCTION("""COMPUTED_VALUE"""),"Transportation")</f>
        <v>Transportation</v>
      </c>
      <c r="I36" s="33"/>
      <c r="J36" s="33"/>
      <c r="K36" s="33"/>
    </row>
    <row r="37">
      <c r="A37" s="33" t="str">
        <f>IFERROR(__xludf.DUMMYFUNCTION("""COMPUTED_VALUE"""),"Debt")</f>
        <v>Debt</v>
      </c>
      <c r="B37" s="33" t="str">
        <f>IFERROR(__xludf.DUMMYFUNCTION("""COMPUTED_VALUE"""),"Groceries")</f>
        <v>Groceries</v>
      </c>
      <c r="C37" s="33" t="str">
        <f>IFERROR(__xludf.DUMMYFUNCTION("""COMPUTED_VALUE"""),"Healthcare")</f>
        <v>Healthcare</v>
      </c>
      <c r="D37" s="33" t="str">
        <f>IFERROR(__xludf.DUMMYFUNCTION("""COMPUTED_VALUE"""),"Household Items")</f>
        <v>Household Items</v>
      </c>
      <c r="E37" s="33" t="str">
        <f>IFERROR(__xludf.DUMMYFUNCTION("""COMPUTED_VALUE"""),"Housing")</f>
        <v>Housing</v>
      </c>
      <c r="F37" s="33" t="str">
        <f>IFERROR(__xludf.DUMMYFUNCTION("""COMPUTED_VALUE"""),"Miscellaneous")</f>
        <v>Miscellaneous</v>
      </c>
      <c r="G37" s="33" t="str">
        <f>IFERROR(__xludf.DUMMYFUNCTION("""COMPUTED_VALUE"""),"Pet")</f>
        <v>Pet</v>
      </c>
      <c r="H37" s="33" t="str">
        <f>IFERROR(__xludf.DUMMYFUNCTION("""COMPUTED_VALUE"""),"Transportation")</f>
        <v>Transportation</v>
      </c>
      <c r="I37" s="33"/>
      <c r="J37" s="33"/>
      <c r="K37" s="33"/>
    </row>
    <row r="38">
      <c r="A38" s="33" t="str">
        <f>IFERROR(__xludf.DUMMYFUNCTION("""COMPUTED_VALUE"""),"Debt")</f>
        <v>Debt</v>
      </c>
      <c r="B38" s="33" t="str">
        <f>IFERROR(__xludf.DUMMYFUNCTION("""COMPUTED_VALUE"""),"Groceries")</f>
        <v>Groceries</v>
      </c>
      <c r="C38" s="33" t="str">
        <f>IFERROR(__xludf.DUMMYFUNCTION("""COMPUTED_VALUE"""),"Healthcare")</f>
        <v>Healthcare</v>
      </c>
      <c r="D38" s="33" t="str">
        <f>IFERROR(__xludf.DUMMYFUNCTION("""COMPUTED_VALUE"""),"Household Items")</f>
        <v>Household Items</v>
      </c>
      <c r="E38" s="33" t="str">
        <f>IFERROR(__xludf.DUMMYFUNCTION("""COMPUTED_VALUE"""),"Housing")</f>
        <v>Housing</v>
      </c>
      <c r="F38" s="33" t="str">
        <f>IFERROR(__xludf.DUMMYFUNCTION("""COMPUTED_VALUE"""),"Miscellaneous")</f>
        <v>Miscellaneous</v>
      </c>
      <c r="G38" s="33" t="str">
        <f>IFERROR(__xludf.DUMMYFUNCTION("""COMPUTED_VALUE"""),"Pet")</f>
        <v>Pet</v>
      </c>
      <c r="H38" s="33" t="str">
        <f>IFERROR(__xludf.DUMMYFUNCTION("""COMPUTED_VALUE"""),"Transportation")</f>
        <v>Transportation</v>
      </c>
      <c r="I38" s="33"/>
      <c r="J38" s="33"/>
      <c r="K38" s="33"/>
    </row>
    <row r="39">
      <c r="A39" s="33" t="str">
        <f>IFERROR(__xludf.DUMMYFUNCTION("""COMPUTED_VALUE"""),"Debt")</f>
        <v>Debt</v>
      </c>
      <c r="B39" s="33" t="str">
        <f>IFERROR(__xludf.DUMMYFUNCTION("""COMPUTED_VALUE"""),"Groceries")</f>
        <v>Groceries</v>
      </c>
      <c r="C39" s="33" t="str">
        <f>IFERROR(__xludf.DUMMYFUNCTION("""COMPUTED_VALUE"""),"Healthcare")</f>
        <v>Healthcare</v>
      </c>
      <c r="D39" s="33" t="str">
        <f>IFERROR(__xludf.DUMMYFUNCTION("""COMPUTED_VALUE"""),"Household Items")</f>
        <v>Household Items</v>
      </c>
      <c r="E39" s="33" t="str">
        <f>IFERROR(__xludf.DUMMYFUNCTION("""COMPUTED_VALUE"""),"Housing")</f>
        <v>Housing</v>
      </c>
      <c r="F39" s="33" t="str">
        <f>IFERROR(__xludf.DUMMYFUNCTION("""COMPUTED_VALUE"""),"Miscellaneous")</f>
        <v>Miscellaneous</v>
      </c>
      <c r="G39" s="33" t="str">
        <f>IFERROR(__xludf.DUMMYFUNCTION("""COMPUTED_VALUE"""),"Pet")</f>
        <v>Pet</v>
      </c>
      <c r="H39" s="33" t="str">
        <f>IFERROR(__xludf.DUMMYFUNCTION("""COMPUTED_VALUE"""),"Transportation")</f>
        <v>Transportation</v>
      </c>
      <c r="I39" s="33"/>
      <c r="J39" s="33"/>
      <c r="K39" s="33"/>
    </row>
    <row r="40">
      <c r="A40" s="33" t="str">
        <f>IFERROR(__xludf.DUMMYFUNCTION("""COMPUTED_VALUE"""),"Clothing")</f>
        <v>Clothing</v>
      </c>
      <c r="B40" s="33" t="str">
        <f>IFERROR(__xludf.DUMMYFUNCTION("""COMPUTED_VALUE"""),"Gifts")</f>
        <v>Gifts</v>
      </c>
      <c r="C40" s="33" t="str">
        <f>IFERROR(__xludf.DUMMYFUNCTION("""COMPUTED_VALUE"""),"Healthcare")</f>
        <v>Healthcare</v>
      </c>
      <c r="D40" s="33" t="str">
        <f>IFERROR(__xludf.DUMMYFUNCTION("""COMPUTED_VALUE"""),"Hobbies")</f>
        <v>Hobbies</v>
      </c>
      <c r="E40" s="33" t="str">
        <f>IFERROR(__xludf.DUMMYFUNCTION("""COMPUTED_VALUE"""),"Organization")</f>
        <v>Organization</v>
      </c>
      <c r="F40" s="33"/>
      <c r="G40" s="33"/>
      <c r="H40" s="33"/>
      <c r="I40" s="33"/>
      <c r="J40" s="33"/>
      <c r="K40" s="33"/>
    </row>
    <row r="41">
      <c r="A41" s="33" t="str">
        <f>IFERROR(__xludf.DUMMYFUNCTION("""COMPUTED_VALUE"""),"Clothing")</f>
        <v>Clothing</v>
      </c>
      <c r="B41" s="33" t="str">
        <f>IFERROR(__xludf.DUMMYFUNCTION("""COMPUTED_VALUE"""),"Gaming")</f>
        <v>Gaming</v>
      </c>
      <c r="C41" s="33" t="str">
        <f>IFERROR(__xludf.DUMMYFUNCTION("""COMPUTED_VALUE"""),"Gifts")</f>
        <v>Gifts</v>
      </c>
      <c r="D41" s="33" t="str">
        <f>IFERROR(__xludf.DUMMYFUNCTION("""COMPUTED_VALUE"""),"Healthcare")</f>
        <v>Healthcare</v>
      </c>
      <c r="E41" s="33" t="str">
        <f>IFERROR(__xludf.DUMMYFUNCTION("""COMPUTED_VALUE"""),"Hobbies")</f>
        <v>Hobbies</v>
      </c>
      <c r="F41" s="33" t="str">
        <f>IFERROR(__xludf.DUMMYFUNCTION("""COMPUTED_VALUE"""),"Subscriptions")</f>
        <v>Subscriptions</v>
      </c>
      <c r="G41" s="33"/>
      <c r="H41" s="33"/>
      <c r="I41" s="33"/>
      <c r="J41" s="33"/>
      <c r="K41" s="33"/>
    </row>
    <row r="42">
      <c r="A42" s="33" t="str">
        <f>IFERROR(__xludf.DUMMYFUNCTION("""COMPUTED_VALUE"""),"Deposit")</f>
        <v>Deposit</v>
      </c>
      <c r="B42" s="33" t="str">
        <f>IFERROR(__xludf.DUMMYFUNCTION("""COMPUTED_VALUE"""),"Withdrawal")</f>
        <v>Withdrawal</v>
      </c>
      <c r="C42" s="33"/>
      <c r="D42" s="33"/>
      <c r="E42" s="33"/>
      <c r="F42" s="33"/>
      <c r="G42" s="33"/>
      <c r="H42" s="33"/>
      <c r="I42" s="33"/>
      <c r="J42" s="33"/>
      <c r="K42" s="33"/>
    </row>
    <row r="43">
      <c r="A43" s="33" t="str">
        <f>IFERROR(__xludf.DUMMYFUNCTION("""COMPUTED_VALUE"""),"Deposit")</f>
        <v>Deposit</v>
      </c>
      <c r="B43" s="33" t="str">
        <f>IFERROR(__xludf.DUMMYFUNCTION("""COMPUTED_VALUE"""),"Withdrawal")</f>
        <v>Withdrawal</v>
      </c>
      <c r="C43" s="33"/>
      <c r="D43" s="33"/>
      <c r="E43" s="33"/>
      <c r="F43" s="33"/>
      <c r="G43" s="33"/>
      <c r="H43" s="33"/>
      <c r="I43" s="33"/>
      <c r="J43" s="33"/>
      <c r="K43" s="33"/>
    </row>
    <row r="44">
      <c r="A44" s="33" t="str">
        <f>IFERROR(__xludf.DUMMYFUNCTION("""COMPUTED_VALUE"""),"Dining Out")</f>
        <v>Dining Out</v>
      </c>
      <c r="B44" s="33" t="str">
        <f>IFERROR(__xludf.DUMMYFUNCTION("""COMPUTED_VALUE"""),"Entertainment")</f>
        <v>Entertainment</v>
      </c>
      <c r="C44" s="33" t="str">
        <f>IFERROR(__xludf.DUMMYFUNCTION("""COMPUTED_VALUE"""),"Gaming")</f>
        <v>Gaming</v>
      </c>
      <c r="D44" s="33" t="str">
        <f>IFERROR(__xludf.DUMMYFUNCTION("""COMPUTED_VALUE"""),"Gifts")</f>
        <v>Gifts</v>
      </c>
      <c r="E44" s="33" t="str">
        <f>IFERROR(__xludf.DUMMYFUNCTION("""COMPUTED_VALUE"""),"Groceries")</f>
        <v>Groceries</v>
      </c>
      <c r="F44" s="33" t="str">
        <f>IFERROR(__xludf.DUMMYFUNCTION("""COMPUTED_VALUE"""),"Healthcare")</f>
        <v>Healthcare</v>
      </c>
      <c r="G44" s="33" t="str">
        <f>IFERROR(__xludf.DUMMYFUNCTION("""COMPUTED_VALUE"""),"Hobbies")</f>
        <v>Hobbies</v>
      </c>
      <c r="H44" s="33" t="str">
        <f>IFERROR(__xludf.DUMMYFUNCTION("""COMPUTED_VALUE"""),"Household Items")</f>
        <v>Household Items</v>
      </c>
      <c r="I44" s="33" t="str">
        <f>IFERROR(__xludf.DUMMYFUNCTION("""COMPUTED_VALUE"""),"Subscriptions")</f>
        <v>Subscriptions</v>
      </c>
      <c r="J44" s="33" t="str">
        <f>IFERROR(__xludf.DUMMYFUNCTION("""COMPUTED_VALUE"""),"Transportation")</f>
        <v>Transportation</v>
      </c>
      <c r="K44" s="33" t="str">
        <f>IFERROR(__xludf.DUMMYFUNCTION("""COMPUTED_VALUE"""),"Travel")</f>
        <v>Travel</v>
      </c>
    </row>
    <row r="45">
      <c r="A45" s="33" t="str">
        <f>IFERROR(__xludf.DUMMYFUNCTION("""COMPUTED_VALUE"""),"Dining Out")</f>
        <v>Dining Out</v>
      </c>
      <c r="B45" s="33" t="str">
        <f>IFERROR(__xludf.DUMMYFUNCTION("""COMPUTED_VALUE"""),"Entertainment")</f>
        <v>Entertainment</v>
      </c>
      <c r="C45" s="33" t="str">
        <f>IFERROR(__xludf.DUMMYFUNCTION("""COMPUTED_VALUE"""),"Gaming")</f>
        <v>Gaming</v>
      </c>
      <c r="D45" s="33" t="str">
        <f>IFERROR(__xludf.DUMMYFUNCTION("""COMPUTED_VALUE"""),"Gifts")</f>
        <v>Gifts</v>
      </c>
      <c r="E45" s="33" t="str">
        <f>IFERROR(__xludf.DUMMYFUNCTION("""COMPUTED_VALUE"""),"Groceries")</f>
        <v>Groceries</v>
      </c>
      <c r="F45" s="33" t="str">
        <f>IFERROR(__xludf.DUMMYFUNCTION("""COMPUTED_VALUE"""),"Healthcare")</f>
        <v>Healthcare</v>
      </c>
      <c r="G45" s="33" t="str">
        <f>IFERROR(__xludf.DUMMYFUNCTION("""COMPUTED_VALUE"""),"Hobbies")</f>
        <v>Hobbies</v>
      </c>
      <c r="H45" s="33" t="str">
        <f>IFERROR(__xludf.DUMMYFUNCTION("""COMPUTED_VALUE"""),"Household Items")</f>
        <v>Household Items</v>
      </c>
      <c r="I45" s="33" t="str">
        <f>IFERROR(__xludf.DUMMYFUNCTION("""COMPUTED_VALUE"""),"Subscriptions")</f>
        <v>Subscriptions</v>
      </c>
      <c r="J45" s="33" t="str">
        <f>IFERROR(__xludf.DUMMYFUNCTION("""COMPUTED_VALUE"""),"Transportation")</f>
        <v>Transportation</v>
      </c>
      <c r="K45" s="33" t="str">
        <f>IFERROR(__xludf.DUMMYFUNCTION("""COMPUTED_VALUE"""),"Travel")</f>
        <v>Travel</v>
      </c>
    </row>
    <row r="46">
      <c r="A46" s="33" t="str">
        <f>IFERROR(__xludf.DUMMYFUNCTION("""COMPUTED_VALUE"""),"Cashback")</f>
        <v>Cashback</v>
      </c>
      <c r="B46" s="33" t="str">
        <f>IFERROR(__xludf.DUMMYFUNCTION("""COMPUTED_VALUE"""),"Investment Returns")</f>
        <v>Investment Returns</v>
      </c>
      <c r="C46" s="33" t="str">
        <f>IFERROR(__xludf.DUMMYFUNCTION("""COMPUTED_VALUE"""),"Paycheck")</f>
        <v>Paycheck</v>
      </c>
      <c r="D46" s="33" t="str">
        <f>IFERROR(__xludf.DUMMYFUNCTION("""COMPUTED_VALUE"""),"Reimbursement")</f>
        <v>Reimbursement</v>
      </c>
      <c r="E46" s="33" t="str">
        <f>IFERROR(__xludf.DUMMYFUNCTION("""COMPUTED_VALUE"""),"Rewards")</f>
        <v>Rewards</v>
      </c>
      <c r="F46" s="33"/>
      <c r="G46" s="33"/>
      <c r="H46" s="33"/>
      <c r="I46" s="33"/>
      <c r="J46" s="33"/>
      <c r="K46" s="33"/>
    </row>
    <row r="47">
      <c r="A47" s="33" t="str">
        <f>IFERROR(__xludf.DUMMYFUNCTION("""COMPUTED_VALUE"""),"Dining Out")</f>
        <v>Dining Out</v>
      </c>
      <c r="B47" s="33" t="str">
        <f>IFERROR(__xludf.DUMMYFUNCTION("""COMPUTED_VALUE"""),"Entertainment")</f>
        <v>Entertainment</v>
      </c>
      <c r="C47" s="33" t="str">
        <f>IFERROR(__xludf.DUMMYFUNCTION("""COMPUTED_VALUE"""),"Gaming")</f>
        <v>Gaming</v>
      </c>
      <c r="D47" s="33" t="str">
        <f>IFERROR(__xludf.DUMMYFUNCTION("""COMPUTED_VALUE"""),"Gifts")</f>
        <v>Gifts</v>
      </c>
      <c r="E47" s="33" t="str">
        <f>IFERROR(__xludf.DUMMYFUNCTION("""COMPUTED_VALUE"""),"Groceries")</f>
        <v>Groceries</v>
      </c>
      <c r="F47" s="33" t="str">
        <f>IFERROR(__xludf.DUMMYFUNCTION("""COMPUTED_VALUE"""),"Healthcare")</f>
        <v>Healthcare</v>
      </c>
      <c r="G47" s="33" t="str">
        <f>IFERROR(__xludf.DUMMYFUNCTION("""COMPUTED_VALUE"""),"Hobbies")</f>
        <v>Hobbies</v>
      </c>
      <c r="H47" s="33" t="str">
        <f>IFERROR(__xludf.DUMMYFUNCTION("""COMPUTED_VALUE"""),"Household Items")</f>
        <v>Household Items</v>
      </c>
      <c r="I47" s="33" t="str">
        <f>IFERROR(__xludf.DUMMYFUNCTION("""COMPUTED_VALUE"""),"Subscriptions")</f>
        <v>Subscriptions</v>
      </c>
      <c r="J47" s="33" t="str">
        <f>IFERROR(__xludf.DUMMYFUNCTION("""COMPUTED_VALUE"""),"Transportation")</f>
        <v>Transportation</v>
      </c>
      <c r="K47" s="33" t="str">
        <f>IFERROR(__xludf.DUMMYFUNCTION("""COMPUTED_VALUE"""),"Travel")</f>
        <v>Travel</v>
      </c>
    </row>
    <row r="48">
      <c r="A48" s="33" t="str">
        <f>IFERROR(__xludf.DUMMYFUNCTION("""COMPUTED_VALUE"""),"Debt")</f>
        <v>Debt</v>
      </c>
      <c r="B48" s="33" t="str">
        <f>IFERROR(__xludf.DUMMYFUNCTION("""COMPUTED_VALUE"""),"Groceries")</f>
        <v>Groceries</v>
      </c>
      <c r="C48" s="33" t="str">
        <f>IFERROR(__xludf.DUMMYFUNCTION("""COMPUTED_VALUE"""),"Healthcare")</f>
        <v>Healthcare</v>
      </c>
      <c r="D48" s="33" t="str">
        <f>IFERROR(__xludf.DUMMYFUNCTION("""COMPUTED_VALUE"""),"Household Items")</f>
        <v>Household Items</v>
      </c>
      <c r="E48" s="33" t="str">
        <f>IFERROR(__xludf.DUMMYFUNCTION("""COMPUTED_VALUE"""),"Housing")</f>
        <v>Housing</v>
      </c>
      <c r="F48" s="33" t="str">
        <f>IFERROR(__xludf.DUMMYFUNCTION("""COMPUTED_VALUE"""),"Miscellaneous")</f>
        <v>Miscellaneous</v>
      </c>
      <c r="G48" s="33" t="str">
        <f>IFERROR(__xludf.DUMMYFUNCTION("""COMPUTED_VALUE"""),"Pet")</f>
        <v>Pet</v>
      </c>
      <c r="H48" s="33" t="str">
        <f>IFERROR(__xludf.DUMMYFUNCTION("""COMPUTED_VALUE"""),"Transportation")</f>
        <v>Transportation</v>
      </c>
      <c r="I48" s="33"/>
      <c r="J48" s="33"/>
      <c r="K48" s="33"/>
    </row>
    <row r="49">
      <c r="A49" s="33" t="str">
        <f>IFERROR(__xludf.DUMMYFUNCTION("""COMPUTED_VALUE"""),"Debt")</f>
        <v>Debt</v>
      </c>
      <c r="B49" s="33" t="str">
        <f>IFERROR(__xludf.DUMMYFUNCTION("""COMPUTED_VALUE"""),"Groceries")</f>
        <v>Groceries</v>
      </c>
      <c r="C49" s="33" t="str">
        <f>IFERROR(__xludf.DUMMYFUNCTION("""COMPUTED_VALUE"""),"Healthcare")</f>
        <v>Healthcare</v>
      </c>
      <c r="D49" s="33" t="str">
        <f>IFERROR(__xludf.DUMMYFUNCTION("""COMPUTED_VALUE"""),"Household Items")</f>
        <v>Household Items</v>
      </c>
      <c r="E49" s="33" t="str">
        <f>IFERROR(__xludf.DUMMYFUNCTION("""COMPUTED_VALUE"""),"Housing")</f>
        <v>Housing</v>
      </c>
      <c r="F49" s="33" t="str">
        <f>IFERROR(__xludf.DUMMYFUNCTION("""COMPUTED_VALUE"""),"Miscellaneous")</f>
        <v>Miscellaneous</v>
      </c>
      <c r="G49" s="33" t="str">
        <f>IFERROR(__xludf.DUMMYFUNCTION("""COMPUTED_VALUE"""),"Pet")</f>
        <v>Pet</v>
      </c>
      <c r="H49" s="33" t="str">
        <f>IFERROR(__xludf.DUMMYFUNCTION("""COMPUTED_VALUE"""),"Transportation")</f>
        <v>Transportation</v>
      </c>
      <c r="I49" s="33"/>
      <c r="J49" s="33"/>
      <c r="K49" s="33"/>
    </row>
    <row r="50">
      <c r="A50" s="33" t="str">
        <f>IFERROR(__xludf.DUMMYFUNCTION("""COMPUTED_VALUE"""),"Debt")</f>
        <v>Debt</v>
      </c>
      <c r="B50" s="33" t="str">
        <f>IFERROR(__xludf.DUMMYFUNCTION("""COMPUTED_VALUE"""),"Groceries")</f>
        <v>Groceries</v>
      </c>
      <c r="C50" s="33" t="str">
        <f>IFERROR(__xludf.DUMMYFUNCTION("""COMPUTED_VALUE"""),"Healthcare")</f>
        <v>Healthcare</v>
      </c>
      <c r="D50" s="33" t="str">
        <f>IFERROR(__xludf.DUMMYFUNCTION("""COMPUTED_VALUE"""),"Household Items")</f>
        <v>Household Items</v>
      </c>
      <c r="E50" s="33" t="str">
        <f>IFERROR(__xludf.DUMMYFUNCTION("""COMPUTED_VALUE"""),"Housing")</f>
        <v>Housing</v>
      </c>
      <c r="F50" s="33" t="str">
        <f>IFERROR(__xludf.DUMMYFUNCTION("""COMPUTED_VALUE"""),"Miscellaneous")</f>
        <v>Miscellaneous</v>
      </c>
      <c r="G50" s="33" t="str">
        <f>IFERROR(__xludf.DUMMYFUNCTION("""COMPUTED_VALUE"""),"Pet")</f>
        <v>Pet</v>
      </c>
      <c r="H50" s="33" t="str">
        <f>IFERROR(__xludf.DUMMYFUNCTION("""COMPUTED_VALUE"""),"Transportation")</f>
        <v>Transportation</v>
      </c>
      <c r="I50" s="33"/>
      <c r="J50" s="33"/>
      <c r="K50" s="33"/>
    </row>
    <row r="51">
      <c r="A51" s="33" t="str">
        <f>IFERROR(__xludf.DUMMYFUNCTION("""COMPUTED_VALUE"""),"Debt")</f>
        <v>Debt</v>
      </c>
      <c r="B51" s="33" t="str">
        <f>IFERROR(__xludf.DUMMYFUNCTION("""COMPUTED_VALUE"""),"Groceries")</f>
        <v>Groceries</v>
      </c>
      <c r="C51" s="33" t="str">
        <f>IFERROR(__xludf.DUMMYFUNCTION("""COMPUTED_VALUE"""),"Healthcare")</f>
        <v>Healthcare</v>
      </c>
      <c r="D51" s="33" t="str">
        <f>IFERROR(__xludf.DUMMYFUNCTION("""COMPUTED_VALUE"""),"Household Items")</f>
        <v>Household Items</v>
      </c>
      <c r="E51" s="33" t="str">
        <f>IFERROR(__xludf.DUMMYFUNCTION("""COMPUTED_VALUE"""),"Housing")</f>
        <v>Housing</v>
      </c>
      <c r="F51" s="33" t="str">
        <f>IFERROR(__xludf.DUMMYFUNCTION("""COMPUTED_VALUE"""),"Miscellaneous")</f>
        <v>Miscellaneous</v>
      </c>
      <c r="G51" s="33" t="str">
        <f>IFERROR(__xludf.DUMMYFUNCTION("""COMPUTED_VALUE"""),"Pet")</f>
        <v>Pet</v>
      </c>
      <c r="H51" s="33" t="str">
        <f>IFERROR(__xludf.DUMMYFUNCTION("""COMPUTED_VALUE"""),"Transportation")</f>
        <v>Transportation</v>
      </c>
      <c r="I51" s="33"/>
      <c r="J51" s="33"/>
      <c r="K51" s="33"/>
    </row>
    <row r="52">
      <c r="A52" s="33" t="str">
        <f>IFERROR(__xludf.DUMMYFUNCTION("""COMPUTED_VALUE"""),"Debt")</f>
        <v>Debt</v>
      </c>
      <c r="B52" s="33" t="str">
        <f>IFERROR(__xludf.DUMMYFUNCTION("""COMPUTED_VALUE"""),"Groceries")</f>
        <v>Groceries</v>
      </c>
      <c r="C52" s="33" t="str">
        <f>IFERROR(__xludf.DUMMYFUNCTION("""COMPUTED_VALUE"""),"Healthcare")</f>
        <v>Healthcare</v>
      </c>
      <c r="D52" s="33" t="str">
        <f>IFERROR(__xludf.DUMMYFUNCTION("""COMPUTED_VALUE"""),"Household Items")</f>
        <v>Household Items</v>
      </c>
      <c r="E52" s="33" t="str">
        <f>IFERROR(__xludf.DUMMYFUNCTION("""COMPUTED_VALUE"""),"Housing")</f>
        <v>Housing</v>
      </c>
      <c r="F52" s="33" t="str">
        <f>IFERROR(__xludf.DUMMYFUNCTION("""COMPUTED_VALUE"""),"Miscellaneous")</f>
        <v>Miscellaneous</v>
      </c>
      <c r="G52" s="33" t="str">
        <f>IFERROR(__xludf.DUMMYFUNCTION("""COMPUTED_VALUE"""),"Pet")</f>
        <v>Pet</v>
      </c>
      <c r="H52" s="33" t="str">
        <f>IFERROR(__xludf.DUMMYFUNCTION("""COMPUTED_VALUE"""),"Transportation")</f>
        <v>Transportation</v>
      </c>
      <c r="I52" s="33"/>
      <c r="J52" s="33"/>
      <c r="K52" s="33"/>
    </row>
    <row r="53">
      <c r="A53" s="33" t="str">
        <f>IFERROR(__xludf.DUMMYFUNCTION("""COMPUTED_VALUE"""),"Debt")</f>
        <v>Debt</v>
      </c>
      <c r="B53" s="33" t="str">
        <f>IFERROR(__xludf.DUMMYFUNCTION("""COMPUTED_VALUE"""),"Groceries")</f>
        <v>Groceries</v>
      </c>
      <c r="C53" s="33" t="str">
        <f>IFERROR(__xludf.DUMMYFUNCTION("""COMPUTED_VALUE"""),"Healthcare")</f>
        <v>Healthcare</v>
      </c>
      <c r="D53" s="33" t="str">
        <f>IFERROR(__xludf.DUMMYFUNCTION("""COMPUTED_VALUE"""),"Household Items")</f>
        <v>Household Items</v>
      </c>
      <c r="E53" s="33" t="str">
        <f>IFERROR(__xludf.DUMMYFUNCTION("""COMPUTED_VALUE"""),"Housing")</f>
        <v>Housing</v>
      </c>
      <c r="F53" s="33" t="str">
        <f>IFERROR(__xludf.DUMMYFUNCTION("""COMPUTED_VALUE"""),"Miscellaneous")</f>
        <v>Miscellaneous</v>
      </c>
      <c r="G53" s="33" t="str">
        <f>IFERROR(__xludf.DUMMYFUNCTION("""COMPUTED_VALUE"""),"Pet")</f>
        <v>Pet</v>
      </c>
      <c r="H53" s="33" t="str">
        <f>IFERROR(__xludf.DUMMYFUNCTION("""COMPUTED_VALUE"""),"Transportation")</f>
        <v>Transportation</v>
      </c>
      <c r="I53" s="33"/>
      <c r="J53" s="33"/>
      <c r="K53" s="33"/>
    </row>
    <row r="54">
      <c r="A54" s="33" t="str">
        <f>IFERROR(__xludf.DUMMYFUNCTION("""COMPUTED_VALUE"""),"Debt")</f>
        <v>Debt</v>
      </c>
      <c r="B54" s="33" t="str">
        <f>IFERROR(__xludf.DUMMYFUNCTION("""COMPUTED_VALUE"""),"Groceries")</f>
        <v>Groceries</v>
      </c>
      <c r="C54" s="33" t="str">
        <f>IFERROR(__xludf.DUMMYFUNCTION("""COMPUTED_VALUE"""),"Healthcare")</f>
        <v>Healthcare</v>
      </c>
      <c r="D54" s="33" t="str">
        <f>IFERROR(__xludf.DUMMYFUNCTION("""COMPUTED_VALUE"""),"Household Items")</f>
        <v>Household Items</v>
      </c>
      <c r="E54" s="33" t="str">
        <f>IFERROR(__xludf.DUMMYFUNCTION("""COMPUTED_VALUE"""),"Housing")</f>
        <v>Housing</v>
      </c>
      <c r="F54" s="33" t="str">
        <f>IFERROR(__xludf.DUMMYFUNCTION("""COMPUTED_VALUE"""),"Miscellaneous")</f>
        <v>Miscellaneous</v>
      </c>
      <c r="G54" s="33" t="str">
        <f>IFERROR(__xludf.DUMMYFUNCTION("""COMPUTED_VALUE"""),"Pet")</f>
        <v>Pet</v>
      </c>
      <c r="H54" s="33" t="str">
        <f>IFERROR(__xludf.DUMMYFUNCTION("""COMPUTED_VALUE"""),"Transportation")</f>
        <v>Transportation</v>
      </c>
      <c r="I54" s="33"/>
      <c r="J54" s="33"/>
      <c r="K54" s="33"/>
    </row>
    <row r="55">
      <c r="A55" s="33" t="str">
        <f>IFERROR(__xludf.DUMMYFUNCTION("""COMPUTED_VALUE"""),"Debt")</f>
        <v>Debt</v>
      </c>
      <c r="B55" s="33" t="str">
        <f>IFERROR(__xludf.DUMMYFUNCTION("""COMPUTED_VALUE"""),"Groceries")</f>
        <v>Groceries</v>
      </c>
      <c r="C55" s="33" t="str">
        <f>IFERROR(__xludf.DUMMYFUNCTION("""COMPUTED_VALUE"""),"Healthcare")</f>
        <v>Healthcare</v>
      </c>
      <c r="D55" s="33" t="str">
        <f>IFERROR(__xludf.DUMMYFUNCTION("""COMPUTED_VALUE"""),"Household Items")</f>
        <v>Household Items</v>
      </c>
      <c r="E55" s="33" t="str">
        <f>IFERROR(__xludf.DUMMYFUNCTION("""COMPUTED_VALUE"""),"Housing")</f>
        <v>Housing</v>
      </c>
      <c r="F55" s="33" t="str">
        <f>IFERROR(__xludf.DUMMYFUNCTION("""COMPUTED_VALUE"""),"Miscellaneous")</f>
        <v>Miscellaneous</v>
      </c>
      <c r="G55" s="33" t="str">
        <f>IFERROR(__xludf.DUMMYFUNCTION("""COMPUTED_VALUE"""),"Pet")</f>
        <v>Pet</v>
      </c>
      <c r="H55" s="33" t="str">
        <f>IFERROR(__xludf.DUMMYFUNCTION("""COMPUTED_VALUE"""),"Transportation")</f>
        <v>Transportation</v>
      </c>
      <c r="I55" s="33"/>
      <c r="J55" s="33"/>
      <c r="K55" s="33"/>
    </row>
    <row r="56">
      <c r="A56" s="33" t="str">
        <f>IFERROR(__xludf.DUMMYFUNCTION("""COMPUTED_VALUE"""),"Debt")</f>
        <v>Debt</v>
      </c>
      <c r="B56" s="33" t="str">
        <f>IFERROR(__xludf.DUMMYFUNCTION("""COMPUTED_VALUE"""),"Groceries")</f>
        <v>Groceries</v>
      </c>
      <c r="C56" s="33" t="str">
        <f>IFERROR(__xludf.DUMMYFUNCTION("""COMPUTED_VALUE"""),"Healthcare")</f>
        <v>Healthcare</v>
      </c>
      <c r="D56" s="33" t="str">
        <f>IFERROR(__xludf.DUMMYFUNCTION("""COMPUTED_VALUE"""),"Household Items")</f>
        <v>Household Items</v>
      </c>
      <c r="E56" s="33" t="str">
        <f>IFERROR(__xludf.DUMMYFUNCTION("""COMPUTED_VALUE"""),"Housing")</f>
        <v>Housing</v>
      </c>
      <c r="F56" s="33" t="str">
        <f>IFERROR(__xludf.DUMMYFUNCTION("""COMPUTED_VALUE"""),"Miscellaneous")</f>
        <v>Miscellaneous</v>
      </c>
      <c r="G56" s="33" t="str">
        <f>IFERROR(__xludf.DUMMYFUNCTION("""COMPUTED_VALUE"""),"Pet")</f>
        <v>Pet</v>
      </c>
      <c r="H56" s="33" t="str">
        <f>IFERROR(__xludf.DUMMYFUNCTION("""COMPUTED_VALUE"""),"Transportation")</f>
        <v>Transportation</v>
      </c>
      <c r="I56" s="33"/>
      <c r="J56" s="33"/>
      <c r="K56" s="33"/>
    </row>
    <row r="57">
      <c r="A57" s="33" t="str">
        <f>IFERROR(__xludf.DUMMYFUNCTION("""COMPUTED_VALUE"""),"Cashback")</f>
        <v>Cashback</v>
      </c>
      <c r="B57" s="33" t="str">
        <f>IFERROR(__xludf.DUMMYFUNCTION("""COMPUTED_VALUE"""),"Investment Returns")</f>
        <v>Investment Returns</v>
      </c>
      <c r="C57" s="33" t="str">
        <f>IFERROR(__xludf.DUMMYFUNCTION("""COMPUTED_VALUE"""),"Paycheck")</f>
        <v>Paycheck</v>
      </c>
      <c r="D57" s="33" t="str">
        <f>IFERROR(__xludf.DUMMYFUNCTION("""COMPUTED_VALUE"""),"Reimbursement")</f>
        <v>Reimbursement</v>
      </c>
      <c r="E57" s="33" t="str">
        <f>IFERROR(__xludf.DUMMYFUNCTION("""COMPUTED_VALUE"""),"Rewards")</f>
        <v>Rewards</v>
      </c>
      <c r="F57" s="33"/>
      <c r="G57" s="33"/>
      <c r="H57" s="33"/>
      <c r="I57" s="33"/>
      <c r="J57" s="33"/>
      <c r="K57" s="33"/>
    </row>
    <row r="58">
      <c r="A58" s="33" t="str">
        <f>IFERROR(__xludf.DUMMYFUNCTION("""COMPUTED_VALUE"""),"Cashback")</f>
        <v>Cashback</v>
      </c>
      <c r="B58" s="33" t="str">
        <f>IFERROR(__xludf.DUMMYFUNCTION("""COMPUTED_VALUE"""),"Investment Returns")</f>
        <v>Investment Returns</v>
      </c>
      <c r="C58" s="33" t="str">
        <f>IFERROR(__xludf.DUMMYFUNCTION("""COMPUTED_VALUE"""),"Paycheck")</f>
        <v>Paycheck</v>
      </c>
      <c r="D58" s="33" t="str">
        <f>IFERROR(__xludf.DUMMYFUNCTION("""COMPUTED_VALUE"""),"Reimbursement")</f>
        <v>Reimbursement</v>
      </c>
      <c r="E58" s="33" t="str">
        <f>IFERROR(__xludf.DUMMYFUNCTION("""COMPUTED_VALUE"""),"Rewards")</f>
        <v>Rewards</v>
      </c>
      <c r="F58" s="33"/>
      <c r="G58" s="33"/>
      <c r="H58" s="33"/>
      <c r="I58" s="33"/>
      <c r="J58" s="33"/>
      <c r="K58" s="33"/>
    </row>
    <row r="59">
      <c r="A59" s="33" t="str">
        <f>IFERROR(__xludf.DUMMYFUNCTION("""COMPUTED_VALUE"""),"Clothing")</f>
        <v>Clothing</v>
      </c>
      <c r="B59" s="33" t="str">
        <f>IFERROR(__xludf.DUMMYFUNCTION("""COMPUTED_VALUE"""),"Gaming")</f>
        <v>Gaming</v>
      </c>
      <c r="C59" s="33" t="str">
        <f>IFERROR(__xludf.DUMMYFUNCTION("""COMPUTED_VALUE"""),"Gifts")</f>
        <v>Gifts</v>
      </c>
      <c r="D59" s="33" t="str">
        <f>IFERROR(__xludf.DUMMYFUNCTION("""COMPUTED_VALUE"""),"Healthcare")</f>
        <v>Healthcare</v>
      </c>
      <c r="E59" s="33" t="str">
        <f>IFERROR(__xludf.DUMMYFUNCTION("""COMPUTED_VALUE"""),"Hobbies")</f>
        <v>Hobbies</v>
      </c>
      <c r="F59" s="33" t="str">
        <f>IFERROR(__xludf.DUMMYFUNCTION("""COMPUTED_VALUE"""),"Subscriptions")</f>
        <v>Subscriptions</v>
      </c>
      <c r="G59" s="33"/>
      <c r="H59" s="33"/>
      <c r="I59" s="33"/>
      <c r="J59" s="33"/>
      <c r="K59" s="33"/>
    </row>
    <row r="60">
      <c r="A60" s="33" t="str">
        <f>IFERROR(__xludf.DUMMYFUNCTION("""COMPUTED_VALUE"""),"Clothing")</f>
        <v>Clothing</v>
      </c>
      <c r="B60" s="33" t="str">
        <f>IFERROR(__xludf.DUMMYFUNCTION("""COMPUTED_VALUE"""),"Gifts")</f>
        <v>Gifts</v>
      </c>
      <c r="C60" s="33" t="str">
        <f>IFERROR(__xludf.DUMMYFUNCTION("""COMPUTED_VALUE"""),"Healthcare")</f>
        <v>Healthcare</v>
      </c>
      <c r="D60" s="33" t="str">
        <f>IFERROR(__xludf.DUMMYFUNCTION("""COMPUTED_VALUE"""),"Hobbies")</f>
        <v>Hobbies</v>
      </c>
      <c r="E60" s="33" t="str">
        <f>IFERROR(__xludf.DUMMYFUNCTION("""COMPUTED_VALUE"""),"Organization")</f>
        <v>Organization</v>
      </c>
      <c r="F60" s="33"/>
      <c r="G60" s="33"/>
      <c r="H60" s="33"/>
      <c r="I60" s="33"/>
      <c r="J60" s="33"/>
      <c r="K60" s="33"/>
    </row>
    <row r="61">
      <c r="A61" s="33" t="str">
        <f>IFERROR(__xludf.DUMMYFUNCTION("""COMPUTED_VALUE"""),"Boarding")</f>
        <v>Boarding</v>
      </c>
      <c r="B61" s="33" t="str">
        <f>IFERROR(__xludf.DUMMYFUNCTION("""COMPUTED_VALUE"""),"Clothing")</f>
        <v>Clothing</v>
      </c>
      <c r="C61" s="33" t="str">
        <f>IFERROR(__xludf.DUMMYFUNCTION("""COMPUTED_VALUE"""),"Daycare")</f>
        <v>Daycare</v>
      </c>
      <c r="D61" s="33" t="str">
        <f>IFERROR(__xludf.DUMMYFUNCTION("""COMPUTED_VALUE"""),"Grooming")</f>
        <v>Grooming</v>
      </c>
      <c r="E61" s="33" t="str">
        <f>IFERROR(__xludf.DUMMYFUNCTION("""COMPUTED_VALUE"""),"Toys")</f>
        <v>Toys</v>
      </c>
      <c r="F61" s="33" t="str">
        <f>IFERROR(__xludf.DUMMYFUNCTION("""COMPUTED_VALUE"""),"Treats")</f>
        <v>Treats</v>
      </c>
      <c r="G61" s="33"/>
      <c r="H61" s="33"/>
      <c r="I61" s="33"/>
      <c r="J61" s="33"/>
      <c r="K61" s="33"/>
    </row>
    <row r="62">
      <c r="A62" s="33" t="str">
        <f>IFERROR(__xludf.DUMMYFUNCTION("""COMPUTED_VALUE"""),"Deposit")</f>
        <v>Deposit</v>
      </c>
      <c r="B62" s="33" t="str">
        <f>IFERROR(__xludf.DUMMYFUNCTION("""COMPUTED_VALUE"""),"Withdrawal")</f>
        <v>Withdrawal</v>
      </c>
      <c r="C62" s="33"/>
      <c r="D62" s="33"/>
      <c r="E62" s="33"/>
      <c r="F62" s="33"/>
      <c r="G62" s="33"/>
      <c r="H62" s="33"/>
      <c r="I62" s="33"/>
      <c r="J62" s="33"/>
      <c r="K62" s="33"/>
    </row>
    <row r="63">
      <c r="A63" s="33" t="str">
        <f>IFERROR(__xludf.DUMMYFUNCTION("""COMPUTED_VALUE"""),"Deposit")</f>
        <v>Deposit</v>
      </c>
      <c r="B63" s="33" t="str">
        <f>IFERROR(__xludf.DUMMYFUNCTION("""COMPUTED_VALUE"""),"Withdrawal")</f>
        <v>Withdrawal</v>
      </c>
      <c r="C63" s="33"/>
      <c r="D63" s="33"/>
      <c r="E63" s="33"/>
      <c r="F63" s="33"/>
      <c r="G63" s="33"/>
      <c r="H63" s="33"/>
      <c r="I63" s="33"/>
      <c r="J63" s="33"/>
      <c r="K63" s="33"/>
    </row>
    <row r="64">
      <c r="A64" s="33" t="str">
        <f>IFERROR(__xludf.DUMMYFUNCTION("""COMPUTED_VALUE"""),"Dining Out")</f>
        <v>Dining Out</v>
      </c>
      <c r="B64" s="33" t="str">
        <f>IFERROR(__xludf.DUMMYFUNCTION("""COMPUTED_VALUE"""),"Entertainment")</f>
        <v>Entertainment</v>
      </c>
      <c r="C64" s="33" t="str">
        <f>IFERROR(__xludf.DUMMYFUNCTION("""COMPUTED_VALUE"""),"Gaming")</f>
        <v>Gaming</v>
      </c>
      <c r="D64" s="33" t="str">
        <f>IFERROR(__xludf.DUMMYFUNCTION("""COMPUTED_VALUE"""),"Gifts")</f>
        <v>Gifts</v>
      </c>
      <c r="E64" s="33" t="str">
        <f>IFERROR(__xludf.DUMMYFUNCTION("""COMPUTED_VALUE"""),"Groceries")</f>
        <v>Groceries</v>
      </c>
      <c r="F64" s="33" t="str">
        <f>IFERROR(__xludf.DUMMYFUNCTION("""COMPUTED_VALUE"""),"Healthcare")</f>
        <v>Healthcare</v>
      </c>
      <c r="G64" s="33" t="str">
        <f>IFERROR(__xludf.DUMMYFUNCTION("""COMPUTED_VALUE"""),"Hobbies")</f>
        <v>Hobbies</v>
      </c>
      <c r="H64" s="33" t="str">
        <f>IFERROR(__xludf.DUMMYFUNCTION("""COMPUTED_VALUE"""),"Household Items")</f>
        <v>Household Items</v>
      </c>
      <c r="I64" s="33" t="str">
        <f>IFERROR(__xludf.DUMMYFUNCTION("""COMPUTED_VALUE"""),"Subscriptions")</f>
        <v>Subscriptions</v>
      </c>
      <c r="J64" s="33" t="str">
        <f>IFERROR(__xludf.DUMMYFUNCTION("""COMPUTED_VALUE"""),"Transportation")</f>
        <v>Transportation</v>
      </c>
      <c r="K64" s="33" t="str">
        <f>IFERROR(__xludf.DUMMYFUNCTION("""COMPUTED_VALUE"""),"Travel")</f>
        <v>Travel</v>
      </c>
    </row>
    <row r="65">
      <c r="A65" s="33" t="str">
        <f>IFERROR(__xludf.DUMMYFUNCTION("""COMPUTED_VALUE"""),"Dining Out")</f>
        <v>Dining Out</v>
      </c>
      <c r="B65" s="33" t="str">
        <f>IFERROR(__xludf.DUMMYFUNCTION("""COMPUTED_VALUE"""),"Entertainment")</f>
        <v>Entertainment</v>
      </c>
      <c r="C65" s="33" t="str">
        <f>IFERROR(__xludf.DUMMYFUNCTION("""COMPUTED_VALUE"""),"Gaming")</f>
        <v>Gaming</v>
      </c>
      <c r="D65" s="33" t="str">
        <f>IFERROR(__xludf.DUMMYFUNCTION("""COMPUTED_VALUE"""),"Gifts")</f>
        <v>Gifts</v>
      </c>
      <c r="E65" s="33" t="str">
        <f>IFERROR(__xludf.DUMMYFUNCTION("""COMPUTED_VALUE"""),"Groceries")</f>
        <v>Groceries</v>
      </c>
      <c r="F65" s="33" t="str">
        <f>IFERROR(__xludf.DUMMYFUNCTION("""COMPUTED_VALUE"""),"Healthcare")</f>
        <v>Healthcare</v>
      </c>
      <c r="G65" s="33" t="str">
        <f>IFERROR(__xludf.DUMMYFUNCTION("""COMPUTED_VALUE"""),"Hobbies")</f>
        <v>Hobbies</v>
      </c>
      <c r="H65" s="33" t="str">
        <f>IFERROR(__xludf.DUMMYFUNCTION("""COMPUTED_VALUE"""),"Household Items")</f>
        <v>Household Items</v>
      </c>
      <c r="I65" s="33" t="str">
        <f>IFERROR(__xludf.DUMMYFUNCTION("""COMPUTED_VALUE"""),"Subscriptions")</f>
        <v>Subscriptions</v>
      </c>
      <c r="J65" s="33" t="str">
        <f>IFERROR(__xludf.DUMMYFUNCTION("""COMPUTED_VALUE"""),"Transportation")</f>
        <v>Transportation</v>
      </c>
      <c r="K65" s="33" t="str">
        <f>IFERROR(__xludf.DUMMYFUNCTION("""COMPUTED_VALUE"""),"Travel")</f>
        <v>Travel</v>
      </c>
    </row>
    <row r="66">
      <c r="A66" s="33" t="str">
        <f>IFERROR(__xludf.DUMMYFUNCTION("""COMPUTED_VALUE"""),"Dining Out")</f>
        <v>Dining Out</v>
      </c>
      <c r="B66" s="33" t="str">
        <f>IFERROR(__xludf.DUMMYFUNCTION("""COMPUTED_VALUE"""),"Entertainment")</f>
        <v>Entertainment</v>
      </c>
      <c r="C66" s="33" t="str">
        <f>IFERROR(__xludf.DUMMYFUNCTION("""COMPUTED_VALUE"""),"Gaming")</f>
        <v>Gaming</v>
      </c>
      <c r="D66" s="33" t="str">
        <f>IFERROR(__xludf.DUMMYFUNCTION("""COMPUTED_VALUE"""),"Gifts")</f>
        <v>Gifts</v>
      </c>
      <c r="E66" s="33" t="str">
        <f>IFERROR(__xludf.DUMMYFUNCTION("""COMPUTED_VALUE"""),"Groceries")</f>
        <v>Groceries</v>
      </c>
      <c r="F66" s="33" t="str">
        <f>IFERROR(__xludf.DUMMYFUNCTION("""COMPUTED_VALUE"""),"Healthcare")</f>
        <v>Healthcare</v>
      </c>
      <c r="G66" s="33" t="str">
        <f>IFERROR(__xludf.DUMMYFUNCTION("""COMPUTED_VALUE"""),"Hobbies")</f>
        <v>Hobbies</v>
      </c>
      <c r="H66" s="33" t="str">
        <f>IFERROR(__xludf.DUMMYFUNCTION("""COMPUTED_VALUE"""),"Household Items")</f>
        <v>Household Items</v>
      </c>
      <c r="I66" s="33" t="str">
        <f>IFERROR(__xludf.DUMMYFUNCTION("""COMPUTED_VALUE"""),"Subscriptions")</f>
        <v>Subscriptions</v>
      </c>
      <c r="J66" s="33" t="str">
        <f>IFERROR(__xludf.DUMMYFUNCTION("""COMPUTED_VALUE"""),"Transportation")</f>
        <v>Transportation</v>
      </c>
      <c r="K66" s="33" t="str">
        <f>IFERROR(__xludf.DUMMYFUNCTION("""COMPUTED_VALUE"""),"Travel")</f>
        <v>Travel</v>
      </c>
    </row>
    <row r="67">
      <c r="A67" s="33" t="str">
        <f>IFERROR(__xludf.DUMMYFUNCTION("""COMPUTED_VALUE"""),"Clothing")</f>
        <v>Clothing</v>
      </c>
      <c r="B67" s="33" t="str">
        <f>IFERROR(__xludf.DUMMYFUNCTION("""COMPUTED_VALUE"""),"Gifts")</f>
        <v>Gifts</v>
      </c>
      <c r="C67" s="33" t="str">
        <f>IFERROR(__xludf.DUMMYFUNCTION("""COMPUTED_VALUE"""),"Healthcare")</f>
        <v>Healthcare</v>
      </c>
      <c r="D67" s="33" t="str">
        <f>IFERROR(__xludf.DUMMYFUNCTION("""COMPUTED_VALUE"""),"Hobbies")</f>
        <v>Hobbies</v>
      </c>
      <c r="E67" s="33" t="str">
        <f>IFERROR(__xludf.DUMMYFUNCTION("""COMPUTED_VALUE"""),"Organization")</f>
        <v>Organization</v>
      </c>
      <c r="F67" s="33"/>
      <c r="G67" s="33"/>
      <c r="H67" s="33"/>
      <c r="I67" s="33"/>
      <c r="J67" s="33"/>
      <c r="K67" s="33"/>
    </row>
    <row r="68">
      <c r="A68" s="33" t="str">
        <f>IFERROR(__xludf.DUMMYFUNCTION("""COMPUTED_VALUE"""),"Debt")</f>
        <v>Debt</v>
      </c>
      <c r="B68" s="33" t="str">
        <f>IFERROR(__xludf.DUMMYFUNCTION("""COMPUTED_VALUE"""),"Groceries")</f>
        <v>Groceries</v>
      </c>
      <c r="C68" s="33" t="str">
        <f>IFERROR(__xludf.DUMMYFUNCTION("""COMPUTED_VALUE"""),"Healthcare")</f>
        <v>Healthcare</v>
      </c>
      <c r="D68" s="33" t="str">
        <f>IFERROR(__xludf.DUMMYFUNCTION("""COMPUTED_VALUE"""),"Household Items")</f>
        <v>Household Items</v>
      </c>
      <c r="E68" s="33" t="str">
        <f>IFERROR(__xludf.DUMMYFUNCTION("""COMPUTED_VALUE"""),"Housing")</f>
        <v>Housing</v>
      </c>
      <c r="F68" s="33" t="str">
        <f>IFERROR(__xludf.DUMMYFUNCTION("""COMPUTED_VALUE"""),"Miscellaneous")</f>
        <v>Miscellaneous</v>
      </c>
      <c r="G68" s="33" t="str">
        <f>IFERROR(__xludf.DUMMYFUNCTION("""COMPUTED_VALUE"""),"Pet")</f>
        <v>Pet</v>
      </c>
      <c r="H68" s="33" t="str">
        <f>IFERROR(__xludf.DUMMYFUNCTION("""COMPUTED_VALUE"""),"Transportation")</f>
        <v>Transportation</v>
      </c>
      <c r="I68" s="33"/>
      <c r="J68" s="33"/>
      <c r="K68" s="33"/>
    </row>
    <row r="69">
      <c r="A69" s="33" t="str">
        <f>IFERROR(__xludf.DUMMYFUNCTION("""COMPUTED_VALUE"""),"Debt")</f>
        <v>Debt</v>
      </c>
      <c r="B69" s="33" t="str">
        <f>IFERROR(__xludf.DUMMYFUNCTION("""COMPUTED_VALUE"""),"Groceries")</f>
        <v>Groceries</v>
      </c>
      <c r="C69" s="33" t="str">
        <f>IFERROR(__xludf.DUMMYFUNCTION("""COMPUTED_VALUE"""),"Healthcare")</f>
        <v>Healthcare</v>
      </c>
      <c r="D69" s="33" t="str">
        <f>IFERROR(__xludf.DUMMYFUNCTION("""COMPUTED_VALUE"""),"Household Items")</f>
        <v>Household Items</v>
      </c>
      <c r="E69" s="33" t="str">
        <f>IFERROR(__xludf.DUMMYFUNCTION("""COMPUTED_VALUE"""),"Housing")</f>
        <v>Housing</v>
      </c>
      <c r="F69" s="33" t="str">
        <f>IFERROR(__xludf.DUMMYFUNCTION("""COMPUTED_VALUE"""),"Miscellaneous")</f>
        <v>Miscellaneous</v>
      </c>
      <c r="G69" s="33" t="str">
        <f>IFERROR(__xludf.DUMMYFUNCTION("""COMPUTED_VALUE"""),"Pet")</f>
        <v>Pet</v>
      </c>
      <c r="H69" s="33" t="str">
        <f>IFERROR(__xludf.DUMMYFUNCTION("""COMPUTED_VALUE"""),"Transportation")</f>
        <v>Transportation</v>
      </c>
      <c r="I69" s="33"/>
      <c r="J69" s="33"/>
      <c r="K69" s="33"/>
    </row>
    <row r="70">
      <c r="A70" s="33" t="str">
        <f>IFERROR(__xludf.DUMMYFUNCTION("""COMPUTED_VALUE"""),"Debt")</f>
        <v>Debt</v>
      </c>
      <c r="B70" s="33" t="str">
        <f>IFERROR(__xludf.DUMMYFUNCTION("""COMPUTED_VALUE"""),"Groceries")</f>
        <v>Groceries</v>
      </c>
      <c r="C70" s="33" t="str">
        <f>IFERROR(__xludf.DUMMYFUNCTION("""COMPUTED_VALUE"""),"Healthcare")</f>
        <v>Healthcare</v>
      </c>
      <c r="D70" s="33" t="str">
        <f>IFERROR(__xludf.DUMMYFUNCTION("""COMPUTED_VALUE"""),"Household Items")</f>
        <v>Household Items</v>
      </c>
      <c r="E70" s="33" t="str">
        <f>IFERROR(__xludf.DUMMYFUNCTION("""COMPUTED_VALUE"""),"Housing")</f>
        <v>Housing</v>
      </c>
      <c r="F70" s="33" t="str">
        <f>IFERROR(__xludf.DUMMYFUNCTION("""COMPUTED_VALUE"""),"Miscellaneous")</f>
        <v>Miscellaneous</v>
      </c>
      <c r="G70" s="33" t="str">
        <f>IFERROR(__xludf.DUMMYFUNCTION("""COMPUTED_VALUE"""),"Pet")</f>
        <v>Pet</v>
      </c>
      <c r="H70" s="33" t="str">
        <f>IFERROR(__xludf.DUMMYFUNCTION("""COMPUTED_VALUE"""),"Transportation")</f>
        <v>Transportation</v>
      </c>
      <c r="I70" s="33"/>
      <c r="J70" s="33"/>
      <c r="K70" s="33"/>
    </row>
    <row r="71">
      <c r="A71" s="33" t="str">
        <f>IFERROR(__xludf.DUMMYFUNCTION("""COMPUTED_VALUE"""),"Debt")</f>
        <v>Debt</v>
      </c>
      <c r="B71" s="33" t="str">
        <f>IFERROR(__xludf.DUMMYFUNCTION("""COMPUTED_VALUE"""),"Groceries")</f>
        <v>Groceries</v>
      </c>
      <c r="C71" s="33" t="str">
        <f>IFERROR(__xludf.DUMMYFUNCTION("""COMPUTED_VALUE"""),"Healthcare")</f>
        <v>Healthcare</v>
      </c>
      <c r="D71" s="33" t="str">
        <f>IFERROR(__xludf.DUMMYFUNCTION("""COMPUTED_VALUE"""),"Household Items")</f>
        <v>Household Items</v>
      </c>
      <c r="E71" s="33" t="str">
        <f>IFERROR(__xludf.DUMMYFUNCTION("""COMPUTED_VALUE"""),"Housing")</f>
        <v>Housing</v>
      </c>
      <c r="F71" s="33" t="str">
        <f>IFERROR(__xludf.DUMMYFUNCTION("""COMPUTED_VALUE"""),"Miscellaneous")</f>
        <v>Miscellaneous</v>
      </c>
      <c r="G71" s="33" t="str">
        <f>IFERROR(__xludf.DUMMYFUNCTION("""COMPUTED_VALUE"""),"Pet")</f>
        <v>Pet</v>
      </c>
      <c r="H71" s="33" t="str">
        <f>IFERROR(__xludf.DUMMYFUNCTION("""COMPUTED_VALUE"""),"Transportation")</f>
        <v>Transportation</v>
      </c>
      <c r="I71" s="33"/>
      <c r="J71" s="33"/>
      <c r="K71" s="33"/>
    </row>
    <row r="72">
      <c r="A72" s="33" t="str">
        <f>IFERROR(__xludf.DUMMYFUNCTION("""COMPUTED_VALUE"""),"Debt")</f>
        <v>Debt</v>
      </c>
      <c r="B72" s="33" t="str">
        <f>IFERROR(__xludf.DUMMYFUNCTION("""COMPUTED_VALUE"""),"Groceries")</f>
        <v>Groceries</v>
      </c>
      <c r="C72" s="33" t="str">
        <f>IFERROR(__xludf.DUMMYFUNCTION("""COMPUTED_VALUE"""),"Healthcare")</f>
        <v>Healthcare</v>
      </c>
      <c r="D72" s="33" t="str">
        <f>IFERROR(__xludf.DUMMYFUNCTION("""COMPUTED_VALUE"""),"Household Items")</f>
        <v>Household Items</v>
      </c>
      <c r="E72" s="33" t="str">
        <f>IFERROR(__xludf.DUMMYFUNCTION("""COMPUTED_VALUE"""),"Housing")</f>
        <v>Housing</v>
      </c>
      <c r="F72" s="33" t="str">
        <f>IFERROR(__xludf.DUMMYFUNCTION("""COMPUTED_VALUE"""),"Miscellaneous")</f>
        <v>Miscellaneous</v>
      </c>
      <c r="G72" s="33" t="str">
        <f>IFERROR(__xludf.DUMMYFUNCTION("""COMPUTED_VALUE"""),"Pet")</f>
        <v>Pet</v>
      </c>
      <c r="H72" s="33" t="str">
        <f>IFERROR(__xludf.DUMMYFUNCTION("""COMPUTED_VALUE"""),"Transportation")</f>
        <v>Transportation</v>
      </c>
      <c r="I72" s="33"/>
      <c r="J72" s="33"/>
      <c r="K72" s="33"/>
    </row>
    <row r="73">
      <c r="A73" s="33" t="str">
        <f>IFERROR(__xludf.DUMMYFUNCTION("""COMPUTED_VALUE"""),"Debt")</f>
        <v>Debt</v>
      </c>
      <c r="B73" s="33" t="str">
        <f>IFERROR(__xludf.DUMMYFUNCTION("""COMPUTED_VALUE"""),"Groceries")</f>
        <v>Groceries</v>
      </c>
      <c r="C73" s="33" t="str">
        <f>IFERROR(__xludf.DUMMYFUNCTION("""COMPUTED_VALUE"""),"Healthcare")</f>
        <v>Healthcare</v>
      </c>
      <c r="D73" s="33" t="str">
        <f>IFERROR(__xludf.DUMMYFUNCTION("""COMPUTED_VALUE"""),"Household Items")</f>
        <v>Household Items</v>
      </c>
      <c r="E73" s="33" t="str">
        <f>IFERROR(__xludf.DUMMYFUNCTION("""COMPUTED_VALUE"""),"Housing")</f>
        <v>Housing</v>
      </c>
      <c r="F73" s="33" t="str">
        <f>IFERROR(__xludf.DUMMYFUNCTION("""COMPUTED_VALUE"""),"Miscellaneous")</f>
        <v>Miscellaneous</v>
      </c>
      <c r="G73" s="33" t="str">
        <f>IFERROR(__xludf.DUMMYFUNCTION("""COMPUTED_VALUE"""),"Pet")</f>
        <v>Pet</v>
      </c>
      <c r="H73" s="33" t="str">
        <f>IFERROR(__xludf.DUMMYFUNCTION("""COMPUTED_VALUE"""),"Transportation")</f>
        <v>Transportation</v>
      </c>
      <c r="I73" s="33"/>
      <c r="J73" s="33"/>
      <c r="K73" s="33"/>
    </row>
    <row r="74">
      <c r="A74" s="33" t="str">
        <f>IFERROR(__xludf.DUMMYFUNCTION("""COMPUTED_VALUE"""),"Debt")</f>
        <v>Debt</v>
      </c>
      <c r="B74" s="33" t="str">
        <f>IFERROR(__xludf.DUMMYFUNCTION("""COMPUTED_VALUE"""),"Groceries")</f>
        <v>Groceries</v>
      </c>
      <c r="C74" s="33" t="str">
        <f>IFERROR(__xludf.DUMMYFUNCTION("""COMPUTED_VALUE"""),"Healthcare")</f>
        <v>Healthcare</v>
      </c>
      <c r="D74" s="33" t="str">
        <f>IFERROR(__xludf.DUMMYFUNCTION("""COMPUTED_VALUE"""),"Household Items")</f>
        <v>Household Items</v>
      </c>
      <c r="E74" s="33" t="str">
        <f>IFERROR(__xludf.DUMMYFUNCTION("""COMPUTED_VALUE"""),"Housing")</f>
        <v>Housing</v>
      </c>
      <c r="F74" s="33" t="str">
        <f>IFERROR(__xludf.DUMMYFUNCTION("""COMPUTED_VALUE"""),"Miscellaneous")</f>
        <v>Miscellaneous</v>
      </c>
      <c r="G74" s="33" t="str">
        <f>IFERROR(__xludf.DUMMYFUNCTION("""COMPUTED_VALUE"""),"Pet")</f>
        <v>Pet</v>
      </c>
      <c r="H74" s="33" t="str">
        <f>IFERROR(__xludf.DUMMYFUNCTION("""COMPUTED_VALUE"""),"Transportation")</f>
        <v>Transportation</v>
      </c>
      <c r="I74" s="33"/>
      <c r="J74" s="33"/>
      <c r="K74" s="33"/>
    </row>
    <row r="75">
      <c r="A75" s="33" t="str">
        <f>IFERROR(__xludf.DUMMYFUNCTION("""COMPUTED_VALUE"""),"Debt")</f>
        <v>Debt</v>
      </c>
      <c r="B75" s="33" t="str">
        <f>IFERROR(__xludf.DUMMYFUNCTION("""COMPUTED_VALUE"""),"Groceries")</f>
        <v>Groceries</v>
      </c>
      <c r="C75" s="33" t="str">
        <f>IFERROR(__xludf.DUMMYFUNCTION("""COMPUTED_VALUE"""),"Healthcare")</f>
        <v>Healthcare</v>
      </c>
      <c r="D75" s="33" t="str">
        <f>IFERROR(__xludf.DUMMYFUNCTION("""COMPUTED_VALUE"""),"Household Items")</f>
        <v>Household Items</v>
      </c>
      <c r="E75" s="33" t="str">
        <f>IFERROR(__xludf.DUMMYFUNCTION("""COMPUTED_VALUE"""),"Housing")</f>
        <v>Housing</v>
      </c>
      <c r="F75" s="33" t="str">
        <f>IFERROR(__xludf.DUMMYFUNCTION("""COMPUTED_VALUE"""),"Miscellaneous")</f>
        <v>Miscellaneous</v>
      </c>
      <c r="G75" s="33" t="str">
        <f>IFERROR(__xludf.DUMMYFUNCTION("""COMPUTED_VALUE"""),"Pet")</f>
        <v>Pet</v>
      </c>
      <c r="H75" s="33" t="str">
        <f>IFERROR(__xludf.DUMMYFUNCTION("""COMPUTED_VALUE"""),"Transportation")</f>
        <v>Transportation</v>
      </c>
      <c r="I75" s="33"/>
      <c r="J75" s="33"/>
      <c r="K75" s="33"/>
    </row>
    <row r="76">
      <c r="A76" s="33" t="str">
        <f>IFERROR(__xludf.DUMMYFUNCTION("""COMPUTED_VALUE"""),"Debt")</f>
        <v>Debt</v>
      </c>
      <c r="B76" s="33" t="str">
        <f>IFERROR(__xludf.DUMMYFUNCTION("""COMPUTED_VALUE"""),"Groceries")</f>
        <v>Groceries</v>
      </c>
      <c r="C76" s="33" t="str">
        <f>IFERROR(__xludf.DUMMYFUNCTION("""COMPUTED_VALUE"""),"Healthcare")</f>
        <v>Healthcare</v>
      </c>
      <c r="D76" s="33" t="str">
        <f>IFERROR(__xludf.DUMMYFUNCTION("""COMPUTED_VALUE"""),"Household Items")</f>
        <v>Household Items</v>
      </c>
      <c r="E76" s="33" t="str">
        <f>IFERROR(__xludf.DUMMYFUNCTION("""COMPUTED_VALUE"""),"Housing")</f>
        <v>Housing</v>
      </c>
      <c r="F76" s="33" t="str">
        <f>IFERROR(__xludf.DUMMYFUNCTION("""COMPUTED_VALUE"""),"Miscellaneous")</f>
        <v>Miscellaneous</v>
      </c>
      <c r="G76" s="33" t="str">
        <f>IFERROR(__xludf.DUMMYFUNCTION("""COMPUTED_VALUE"""),"Pet")</f>
        <v>Pet</v>
      </c>
      <c r="H76" s="33" t="str">
        <f>IFERROR(__xludf.DUMMYFUNCTION("""COMPUTED_VALUE"""),"Transportation")</f>
        <v>Transportation</v>
      </c>
      <c r="I76" s="33"/>
      <c r="J76" s="33"/>
      <c r="K76" s="33"/>
    </row>
    <row r="77">
      <c r="A77" s="33" t="str">
        <f>IFERROR(__xludf.DUMMYFUNCTION("""COMPUTED_VALUE"""),"Debt")</f>
        <v>Debt</v>
      </c>
      <c r="B77" s="33" t="str">
        <f>IFERROR(__xludf.DUMMYFUNCTION("""COMPUTED_VALUE"""),"Groceries")</f>
        <v>Groceries</v>
      </c>
      <c r="C77" s="33" t="str">
        <f>IFERROR(__xludf.DUMMYFUNCTION("""COMPUTED_VALUE"""),"Healthcare")</f>
        <v>Healthcare</v>
      </c>
      <c r="D77" s="33" t="str">
        <f>IFERROR(__xludf.DUMMYFUNCTION("""COMPUTED_VALUE"""),"Household Items")</f>
        <v>Household Items</v>
      </c>
      <c r="E77" s="33" t="str">
        <f>IFERROR(__xludf.DUMMYFUNCTION("""COMPUTED_VALUE"""),"Housing")</f>
        <v>Housing</v>
      </c>
      <c r="F77" s="33" t="str">
        <f>IFERROR(__xludf.DUMMYFUNCTION("""COMPUTED_VALUE"""),"Miscellaneous")</f>
        <v>Miscellaneous</v>
      </c>
      <c r="G77" s="33" t="str">
        <f>IFERROR(__xludf.DUMMYFUNCTION("""COMPUTED_VALUE"""),"Pet")</f>
        <v>Pet</v>
      </c>
      <c r="H77" s="33" t="str">
        <f>IFERROR(__xludf.DUMMYFUNCTION("""COMPUTED_VALUE"""),"Transportation")</f>
        <v>Transportation</v>
      </c>
      <c r="I77" s="33"/>
      <c r="J77" s="33"/>
      <c r="K77" s="33"/>
    </row>
    <row r="78">
      <c r="A78" s="33" t="str">
        <f>IFERROR(__xludf.DUMMYFUNCTION("""COMPUTED_VALUE"""),"Debt")</f>
        <v>Debt</v>
      </c>
      <c r="B78" s="33" t="str">
        <f>IFERROR(__xludf.DUMMYFUNCTION("""COMPUTED_VALUE"""),"Groceries")</f>
        <v>Groceries</v>
      </c>
      <c r="C78" s="33" t="str">
        <f>IFERROR(__xludf.DUMMYFUNCTION("""COMPUTED_VALUE"""),"Healthcare")</f>
        <v>Healthcare</v>
      </c>
      <c r="D78" s="33" t="str">
        <f>IFERROR(__xludf.DUMMYFUNCTION("""COMPUTED_VALUE"""),"Household Items")</f>
        <v>Household Items</v>
      </c>
      <c r="E78" s="33" t="str">
        <f>IFERROR(__xludf.DUMMYFUNCTION("""COMPUTED_VALUE"""),"Housing")</f>
        <v>Housing</v>
      </c>
      <c r="F78" s="33" t="str">
        <f>IFERROR(__xludf.DUMMYFUNCTION("""COMPUTED_VALUE"""),"Miscellaneous")</f>
        <v>Miscellaneous</v>
      </c>
      <c r="G78" s="33" t="str">
        <f>IFERROR(__xludf.DUMMYFUNCTION("""COMPUTED_VALUE"""),"Pet")</f>
        <v>Pet</v>
      </c>
      <c r="H78" s="33" t="str">
        <f>IFERROR(__xludf.DUMMYFUNCTION("""COMPUTED_VALUE"""),"Transportation")</f>
        <v>Transportation</v>
      </c>
      <c r="I78" s="33"/>
      <c r="J78" s="33"/>
      <c r="K78" s="33"/>
    </row>
    <row r="79">
      <c r="A79" s="33" t="str">
        <f>IFERROR(__xludf.DUMMYFUNCTION("""COMPUTED_VALUE"""),"Debt")</f>
        <v>Debt</v>
      </c>
      <c r="B79" s="33" t="str">
        <f>IFERROR(__xludf.DUMMYFUNCTION("""COMPUTED_VALUE"""),"Groceries")</f>
        <v>Groceries</v>
      </c>
      <c r="C79" s="33" t="str">
        <f>IFERROR(__xludf.DUMMYFUNCTION("""COMPUTED_VALUE"""),"Healthcare")</f>
        <v>Healthcare</v>
      </c>
      <c r="D79" s="33" t="str">
        <f>IFERROR(__xludf.DUMMYFUNCTION("""COMPUTED_VALUE"""),"Household Items")</f>
        <v>Household Items</v>
      </c>
      <c r="E79" s="33" t="str">
        <f>IFERROR(__xludf.DUMMYFUNCTION("""COMPUTED_VALUE"""),"Housing")</f>
        <v>Housing</v>
      </c>
      <c r="F79" s="33" t="str">
        <f>IFERROR(__xludf.DUMMYFUNCTION("""COMPUTED_VALUE"""),"Miscellaneous")</f>
        <v>Miscellaneous</v>
      </c>
      <c r="G79" s="33" t="str">
        <f>IFERROR(__xludf.DUMMYFUNCTION("""COMPUTED_VALUE"""),"Pet")</f>
        <v>Pet</v>
      </c>
      <c r="H79" s="33" t="str">
        <f>IFERROR(__xludf.DUMMYFUNCTION("""COMPUTED_VALUE"""),"Transportation")</f>
        <v>Transportation</v>
      </c>
      <c r="I79" s="33"/>
      <c r="J79" s="33"/>
      <c r="K79" s="33"/>
    </row>
    <row r="80">
      <c r="A80" s="33" t="str">
        <f>IFERROR(__xludf.DUMMYFUNCTION("""COMPUTED_VALUE"""),"Deposit")</f>
        <v>Deposit</v>
      </c>
      <c r="B80" s="33" t="str">
        <f>IFERROR(__xludf.DUMMYFUNCTION("""COMPUTED_VALUE"""),"Withdrawal")</f>
        <v>Withdrawal</v>
      </c>
      <c r="C80" s="33"/>
      <c r="D80" s="33"/>
      <c r="E80" s="33"/>
      <c r="F80" s="33"/>
      <c r="G80" s="33"/>
      <c r="H80" s="33"/>
      <c r="I80" s="33"/>
      <c r="J80" s="33"/>
      <c r="K80" s="33"/>
    </row>
    <row r="81">
      <c r="A81" s="33" t="str">
        <f>IFERROR(__xludf.DUMMYFUNCTION("""COMPUTED_VALUE"""),"Deposit")</f>
        <v>Deposit</v>
      </c>
      <c r="B81" s="33" t="str">
        <f>IFERROR(__xludf.DUMMYFUNCTION("""COMPUTED_VALUE"""),"Withdrawal")</f>
        <v>Withdrawal</v>
      </c>
      <c r="C81" s="33"/>
      <c r="D81" s="33"/>
      <c r="E81" s="33"/>
      <c r="F81" s="33"/>
      <c r="G81" s="33"/>
      <c r="H81" s="33"/>
      <c r="I81" s="33"/>
      <c r="J81" s="33"/>
      <c r="K81" s="33"/>
    </row>
    <row r="82">
      <c r="A82" s="33" t="str">
        <f>IFERROR(__xludf.DUMMYFUNCTION("""COMPUTED_VALUE"""),"Debt")</f>
        <v>Debt</v>
      </c>
      <c r="B82" s="33" t="str">
        <f>IFERROR(__xludf.DUMMYFUNCTION("""COMPUTED_VALUE"""),"Groceries")</f>
        <v>Groceries</v>
      </c>
      <c r="C82" s="33" t="str">
        <f>IFERROR(__xludf.DUMMYFUNCTION("""COMPUTED_VALUE"""),"Healthcare")</f>
        <v>Healthcare</v>
      </c>
      <c r="D82" s="33" t="str">
        <f>IFERROR(__xludf.DUMMYFUNCTION("""COMPUTED_VALUE"""),"Household Items")</f>
        <v>Household Items</v>
      </c>
      <c r="E82" s="33" t="str">
        <f>IFERROR(__xludf.DUMMYFUNCTION("""COMPUTED_VALUE"""),"Housing")</f>
        <v>Housing</v>
      </c>
      <c r="F82" s="33" t="str">
        <f>IFERROR(__xludf.DUMMYFUNCTION("""COMPUTED_VALUE"""),"Miscellaneous")</f>
        <v>Miscellaneous</v>
      </c>
      <c r="G82" s="33" t="str">
        <f>IFERROR(__xludf.DUMMYFUNCTION("""COMPUTED_VALUE"""),"Pet")</f>
        <v>Pet</v>
      </c>
      <c r="H82" s="33" t="str">
        <f>IFERROR(__xludf.DUMMYFUNCTION("""COMPUTED_VALUE"""),"Transportation")</f>
        <v>Transportation</v>
      </c>
      <c r="I82" s="33"/>
      <c r="J82" s="33"/>
      <c r="K82" s="33"/>
    </row>
    <row r="83">
      <c r="A83" s="33" t="str">
        <f>IFERROR(__xludf.DUMMYFUNCTION("""COMPUTED_VALUE"""),"Dining Out")</f>
        <v>Dining Out</v>
      </c>
      <c r="B83" s="33" t="str">
        <f>IFERROR(__xludf.DUMMYFUNCTION("""COMPUTED_VALUE"""),"Entertainment")</f>
        <v>Entertainment</v>
      </c>
      <c r="C83" s="33" t="str">
        <f>IFERROR(__xludf.DUMMYFUNCTION("""COMPUTED_VALUE"""),"Gaming")</f>
        <v>Gaming</v>
      </c>
      <c r="D83" s="33" t="str">
        <f>IFERROR(__xludf.DUMMYFUNCTION("""COMPUTED_VALUE"""),"Gifts")</f>
        <v>Gifts</v>
      </c>
      <c r="E83" s="33" t="str">
        <f>IFERROR(__xludf.DUMMYFUNCTION("""COMPUTED_VALUE"""),"Groceries")</f>
        <v>Groceries</v>
      </c>
      <c r="F83" s="33" t="str">
        <f>IFERROR(__xludf.DUMMYFUNCTION("""COMPUTED_VALUE"""),"Healthcare")</f>
        <v>Healthcare</v>
      </c>
      <c r="G83" s="33" t="str">
        <f>IFERROR(__xludf.DUMMYFUNCTION("""COMPUTED_VALUE"""),"Hobbies")</f>
        <v>Hobbies</v>
      </c>
      <c r="H83" s="33" t="str">
        <f>IFERROR(__xludf.DUMMYFUNCTION("""COMPUTED_VALUE"""),"Household Items")</f>
        <v>Household Items</v>
      </c>
      <c r="I83" s="33" t="str">
        <f>IFERROR(__xludf.DUMMYFUNCTION("""COMPUTED_VALUE"""),"Subscriptions")</f>
        <v>Subscriptions</v>
      </c>
      <c r="J83" s="33" t="str">
        <f>IFERROR(__xludf.DUMMYFUNCTION("""COMPUTED_VALUE"""),"Transportation")</f>
        <v>Transportation</v>
      </c>
      <c r="K83" s="33" t="str">
        <f>IFERROR(__xludf.DUMMYFUNCTION("""COMPUTED_VALUE"""),"Travel")</f>
        <v>Travel</v>
      </c>
    </row>
    <row r="84">
      <c r="A84" s="33" t="str">
        <f>IFERROR(__xludf.DUMMYFUNCTION("""COMPUTED_VALUE"""),"Clothing")</f>
        <v>Clothing</v>
      </c>
      <c r="B84" s="33" t="str">
        <f>IFERROR(__xludf.DUMMYFUNCTION("""COMPUTED_VALUE"""),"Gaming")</f>
        <v>Gaming</v>
      </c>
      <c r="C84" s="33" t="str">
        <f>IFERROR(__xludf.DUMMYFUNCTION("""COMPUTED_VALUE"""),"Gifts")</f>
        <v>Gifts</v>
      </c>
      <c r="D84" s="33" t="str">
        <f>IFERROR(__xludf.DUMMYFUNCTION("""COMPUTED_VALUE"""),"Healthcare")</f>
        <v>Healthcare</v>
      </c>
      <c r="E84" s="33" t="str">
        <f>IFERROR(__xludf.DUMMYFUNCTION("""COMPUTED_VALUE"""),"Hobbies")</f>
        <v>Hobbies</v>
      </c>
      <c r="F84" s="33" t="str">
        <f>IFERROR(__xludf.DUMMYFUNCTION("""COMPUTED_VALUE"""),"Subscriptions")</f>
        <v>Subscriptions</v>
      </c>
      <c r="G84" s="33"/>
      <c r="H84" s="33"/>
      <c r="I84" s="33"/>
      <c r="J84" s="33"/>
      <c r="K84" s="33"/>
    </row>
    <row r="85">
      <c r="A85" s="33" t="str">
        <f>IFERROR(__xludf.DUMMYFUNCTION("""COMPUTED_VALUE"""),"Dining Out")</f>
        <v>Dining Out</v>
      </c>
      <c r="B85" s="33" t="str">
        <f>IFERROR(__xludf.DUMMYFUNCTION("""COMPUTED_VALUE"""),"Entertainment")</f>
        <v>Entertainment</v>
      </c>
      <c r="C85" s="33" t="str">
        <f>IFERROR(__xludf.DUMMYFUNCTION("""COMPUTED_VALUE"""),"Gaming")</f>
        <v>Gaming</v>
      </c>
      <c r="D85" s="33" t="str">
        <f>IFERROR(__xludf.DUMMYFUNCTION("""COMPUTED_VALUE"""),"Gifts")</f>
        <v>Gifts</v>
      </c>
      <c r="E85" s="33" t="str">
        <f>IFERROR(__xludf.DUMMYFUNCTION("""COMPUTED_VALUE"""),"Groceries")</f>
        <v>Groceries</v>
      </c>
      <c r="F85" s="33" t="str">
        <f>IFERROR(__xludf.DUMMYFUNCTION("""COMPUTED_VALUE"""),"Healthcare")</f>
        <v>Healthcare</v>
      </c>
      <c r="G85" s="33" t="str">
        <f>IFERROR(__xludf.DUMMYFUNCTION("""COMPUTED_VALUE"""),"Hobbies")</f>
        <v>Hobbies</v>
      </c>
      <c r="H85" s="33" t="str">
        <f>IFERROR(__xludf.DUMMYFUNCTION("""COMPUTED_VALUE"""),"Household Items")</f>
        <v>Household Items</v>
      </c>
      <c r="I85" s="33" t="str">
        <f>IFERROR(__xludf.DUMMYFUNCTION("""COMPUTED_VALUE"""),"Subscriptions")</f>
        <v>Subscriptions</v>
      </c>
      <c r="J85" s="33" t="str">
        <f>IFERROR(__xludf.DUMMYFUNCTION("""COMPUTED_VALUE"""),"Transportation")</f>
        <v>Transportation</v>
      </c>
      <c r="K85" s="33" t="str">
        <f>IFERROR(__xludf.DUMMYFUNCTION("""COMPUTED_VALUE"""),"Travel")</f>
        <v>Travel</v>
      </c>
    </row>
    <row r="86">
      <c r="A86" s="33" t="str">
        <f>IFERROR(__xludf.DUMMYFUNCTION("""COMPUTED_VALUE"""),"Deposit")</f>
        <v>Deposit</v>
      </c>
      <c r="B86" s="33" t="str">
        <f>IFERROR(__xludf.DUMMYFUNCTION("""COMPUTED_VALUE"""),"Withdrawal")</f>
        <v>Withdrawal</v>
      </c>
      <c r="C86" s="33"/>
      <c r="D86" s="33"/>
      <c r="E86" s="33"/>
      <c r="F86" s="33"/>
      <c r="G86" s="33"/>
      <c r="H86" s="33"/>
      <c r="I86" s="33"/>
      <c r="J86" s="33"/>
      <c r="K86" s="33"/>
    </row>
    <row r="87">
      <c r="A87" s="33" t="str">
        <f>IFERROR(__xludf.DUMMYFUNCTION("""COMPUTED_VALUE"""),"Deposit")</f>
        <v>Deposit</v>
      </c>
      <c r="B87" s="33" t="str">
        <f>IFERROR(__xludf.DUMMYFUNCTION("""COMPUTED_VALUE"""),"Withdrawal")</f>
        <v>Withdrawal</v>
      </c>
      <c r="C87" s="33"/>
      <c r="D87" s="33"/>
      <c r="E87" s="33"/>
      <c r="F87" s="33"/>
      <c r="G87" s="33"/>
      <c r="H87" s="33"/>
      <c r="I87" s="33"/>
      <c r="J87" s="33"/>
      <c r="K87" s="33"/>
    </row>
    <row r="88">
      <c r="A88" s="33" t="str">
        <f>IFERROR(__xludf.DUMMYFUNCTION("""COMPUTED_VALUE"""),"Cashback")</f>
        <v>Cashback</v>
      </c>
      <c r="B88" s="33" t="str">
        <f>IFERROR(__xludf.DUMMYFUNCTION("""COMPUTED_VALUE"""),"Investment Returns")</f>
        <v>Investment Returns</v>
      </c>
      <c r="C88" s="33" t="str">
        <f>IFERROR(__xludf.DUMMYFUNCTION("""COMPUTED_VALUE"""),"Paycheck")</f>
        <v>Paycheck</v>
      </c>
      <c r="D88" s="33" t="str">
        <f>IFERROR(__xludf.DUMMYFUNCTION("""COMPUTED_VALUE"""),"Reimbursement")</f>
        <v>Reimbursement</v>
      </c>
      <c r="E88" s="33" t="str">
        <f>IFERROR(__xludf.DUMMYFUNCTION("""COMPUTED_VALUE"""),"Rewards")</f>
        <v>Rewards</v>
      </c>
      <c r="F88" s="33"/>
      <c r="G88" s="33"/>
      <c r="H88" s="33"/>
      <c r="I88" s="33"/>
      <c r="J88" s="33"/>
      <c r="K88" s="33"/>
    </row>
    <row r="89">
      <c r="A89" s="33" t="str">
        <f>IFERROR(__xludf.DUMMYFUNCTION("""COMPUTED_VALUE"""),"Cashback")</f>
        <v>Cashback</v>
      </c>
      <c r="B89" s="33" t="str">
        <f>IFERROR(__xludf.DUMMYFUNCTION("""COMPUTED_VALUE"""),"Investment Returns")</f>
        <v>Investment Returns</v>
      </c>
      <c r="C89" s="33" t="str">
        <f>IFERROR(__xludf.DUMMYFUNCTION("""COMPUTED_VALUE"""),"Paycheck")</f>
        <v>Paycheck</v>
      </c>
      <c r="D89" s="33" t="str">
        <f>IFERROR(__xludf.DUMMYFUNCTION("""COMPUTED_VALUE"""),"Reimbursement")</f>
        <v>Reimbursement</v>
      </c>
      <c r="E89" s="33" t="str">
        <f>IFERROR(__xludf.DUMMYFUNCTION("""COMPUTED_VALUE"""),"Rewards")</f>
        <v>Rewards</v>
      </c>
      <c r="F89" s="33"/>
      <c r="G89" s="33"/>
      <c r="H89" s="33"/>
      <c r="I89" s="33"/>
      <c r="J89" s="33"/>
      <c r="K89" s="33"/>
    </row>
    <row r="90">
      <c r="A90" s="33" t="str">
        <f>IFERROR(__xludf.DUMMYFUNCTION("""COMPUTED_VALUE"""),"Debt")</f>
        <v>Debt</v>
      </c>
      <c r="B90" s="33" t="str">
        <f>IFERROR(__xludf.DUMMYFUNCTION("""COMPUTED_VALUE"""),"Groceries")</f>
        <v>Groceries</v>
      </c>
      <c r="C90" s="33" t="str">
        <f>IFERROR(__xludf.DUMMYFUNCTION("""COMPUTED_VALUE"""),"Healthcare")</f>
        <v>Healthcare</v>
      </c>
      <c r="D90" s="33" t="str">
        <f>IFERROR(__xludf.DUMMYFUNCTION("""COMPUTED_VALUE"""),"Household Items")</f>
        <v>Household Items</v>
      </c>
      <c r="E90" s="33" t="str">
        <f>IFERROR(__xludf.DUMMYFUNCTION("""COMPUTED_VALUE"""),"Housing")</f>
        <v>Housing</v>
      </c>
      <c r="F90" s="33" t="str">
        <f>IFERROR(__xludf.DUMMYFUNCTION("""COMPUTED_VALUE"""),"Miscellaneous")</f>
        <v>Miscellaneous</v>
      </c>
      <c r="G90" s="33" t="str">
        <f>IFERROR(__xludf.DUMMYFUNCTION("""COMPUTED_VALUE"""),"Pet")</f>
        <v>Pet</v>
      </c>
      <c r="H90" s="33" t="str">
        <f>IFERROR(__xludf.DUMMYFUNCTION("""COMPUTED_VALUE"""),"Transportation")</f>
        <v>Transportation</v>
      </c>
      <c r="I90" s="33"/>
      <c r="J90" s="33"/>
      <c r="K90" s="33"/>
    </row>
    <row r="91">
      <c r="A91" s="33" t="str">
        <f>IFERROR(__xludf.DUMMYFUNCTION("""COMPUTED_VALUE"""),"Debt")</f>
        <v>Debt</v>
      </c>
      <c r="B91" s="33" t="str">
        <f>IFERROR(__xludf.DUMMYFUNCTION("""COMPUTED_VALUE"""),"Groceries")</f>
        <v>Groceries</v>
      </c>
      <c r="C91" s="33" t="str">
        <f>IFERROR(__xludf.DUMMYFUNCTION("""COMPUTED_VALUE"""),"Healthcare")</f>
        <v>Healthcare</v>
      </c>
      <c r="D91" s="33" t="str">
        <f>IFERROR(__xludf.DUMMYFUNCTION("""COMPUTED_VALUE"""),"Household Items")</f>
        <v>Household Items</v>
      </c>
      <c r="E91" s="33" t="str">
        <f>IFERROR(__xludf.DUMMYFUNCTION("""COMPUTED_VALUE"""),"Housing")</f>
        <v>Housing</v>
      </c>
      <c r="F91" s="33" t="str">
        <f>IFERROR(__xludf.DUMMYFUNCTION("""COMPUTED_VALUE"""),"Miscellaneous")</f>
        <v>Miscellaneous</v>
      </c>
      <c r="G91" s="33" t="str">
        <f>IFERROR(__xludf.DUMMYFUNCTION("""COMPUTED_VALUE"""),"Pet")</f>
        <v>Pet</v>
      </c>
      <c r="H91" s="33" t="str">
        <f>IFERROR(__xludf.DUMMYFUNCTION("""COMPUTED_VALUE"""),"Transportation")</f>
        <v>Transportation</v>
      </c>
      <c r="I91" s="33"/>
      <c r="J91" s="33"/>
      <c r="K91" s="33"/>
    </row>
    <row r="92">
      <c r="A92" s="33" t="str">
        <f>IFERROR(__xludf.DUMMYFUNCTION("""COMPUTED_VALUE"""),"Debt")</f>
        <v>Debt</v>
      </c>
      <c r="B92" s="33" t="str">
        <f>IFERROR(__xludf.DUMMYFUNCTION("""COMPUTED_VALUE"""),"Groceries")</f>
        <v>Groceries</v>
      </c>
      <c r="C92" s="33" t="str">
        <f>IFERROR(__xludf.DUMMYFUNCTION("""COMPUTED_VALUE"""),"Healthcare")</f>
        <v>Healthcare</v>
      </c>
      <c r="D92" s="33" t="str">
        <f>IFERROR(__xludf.DUMMYFUNCTION("""COMPUTED_VALUE"""),"Household Items")</f>
        <v>Household Items</v>
      </c>
      <c r="E92" s="33" t="str">
        <f>IFERROR(__xludf.DUMMYFUNCTION("""COMPUTED_VALUE"""),"Housing")</f>
        <v>Housing</v>
      </c>
      <c r="F92" s="33" t="str">
        <f>IFERROR(__xludf.DUMMYFUNCTION("""COMPUTED_VALUE"""),"Miscellaneous")</f>
        <v>Miscellaneous</v>
      </c>
      <c r="G92" s="33" t="str">
        <f>IFERROR(__xludf.DUMMYFUNCTION("""COMPUTED_VALUE"""),"Pet")</f>
        <v>Pet</v>
      </c>
      <c r="H92" s="33" t="str">
        <f>IFERROR(__xludf.DUMMYFUNCTION("""COMPUTED_VALUE"""),"Transportation")</f>
        <v>Transportation</v>
      </c>
      <c r="I92" s="33"/>
      <c r="J92" s="33"/>
      <c r="K92" s="33"/>
    </row>
    <row r="93">
      <c r="A93" s="33" t="str">
        <f>IFERROR(__xludf.DUMMYFUNCTION("""COMPUTED_VALUE"""),"Deposit")</f>
        <v>Deposit</v>
      </c>
      <c r="B93" s="33" t="str">
        <f>IFERROR(__xludf.DUMMYFUNCTION("""COMPUTED_VALUE"""),"Withdrawal")</f>
        <v>Withdrawal</v>
      </c>
      <c r="C93" s="33"/>
      <c r="D93" s="33"/>
      <c r="E93" s="33"/>
      <c r="F93" s="33"/>
      <c r="G93" s="33"/>
      <c r="H93" s="33"/>
      <c r="I93" s="33"/>
      <c r="J93" s="33"/>
      <c r="K93" s="33"/>
    </row>
    <row r="94">
      <c r="A94" s="33" t="str">
        <f>IFERROR(__xludf.DUMMYFUNCTION("""COMPUTED_VALUE"""),"Deposit")</f>
        <v>Deposit</v>
      </c>
      <c r="B94" s="33" t="str">
        <f>IFERROR(__xludf.DUMMYFUNCTION("""COMPUTED_VALUE"""),"Withdrawal")</f>
        <v>Withdrawal</v>
      </c>
      <c r="C94" s="33"/>
      <c r="D94" s="33"/>
      <c r="E94" s="33"/>
      <c r="F94" s="33"/>
      <c r="G94" s="33"/>
      <c r="H94" s="33"/>
      <c r="I94" s="33"/>
      <c r="J94" s="33"/>
      <c r="K94" s="33"/>
    </row>
    <row r="95">
      <c r="A95" s="33" t="str">
        <f>IFERROR(__xludf.DUMMYFUNCTION("""COMPUTED_VALUE"""),"Debt")</f>
        <v>Debt</v>
      </c>
      <c r="B95" s="33" t="str">
        <f>IFERROR(__xludf.DUMMYFUNCTION("""COMPUTED_VALUE"""),"Groceries")</f>
        <v>Groceries</v>
      </c>
      <c r="C95" s="33" t="str">
        <f>IFERROR(__xludf.DUMMYFUNCTION("""COMPUTED_VALUE"""),"Healthcare")</f>
        <v>Healthcare</v>
      </c>
      <c r="D95" s="33" t="str">
        <f>IFERROR(__xludf.DUMMYFUNCTION("""COMPUTED_VALUE"""),"Household Items")</f>
        <v>Household Items</v>
      </c>
      <c r="E95" s="33" t="str">
        <f>IFERROR(__xludf.DUMMYFUNCTION("""COMPUTED_VALUE"""),"Housing")</f>
        <v>Housing</v>
      </c>
      <c r="F95" s="33" t="str">
        <f>IFERROR(__xludf.DUMMYFUNCTION("""COMPUTED_VALUE"""),"Miscellaneous")</f>
        <v>Miscellaneous</v>
      </c>
      <c r="G95" s="33" t="str">
        <f>IFERROR(__xludf.DUMMYFUNCTION("""COMPUTED_VALUE"""),"Pet")</f>
        <v>Pet</v>
      </c>
      <c r="H95" s="33" t="str">
        <f>IFERROR(__xludf.DUMMYFUNCTION("""COMPUTED_VALUE"""),"Transportation")</f>
        <v>Transportation</v>
      </c>
      <c r="I95" s="33"/>
      <c r="J95" s="33"/>
      <c r="K95" s="33"/>
    </row>
    <row r="96">
      <c r="A96" s="33" t="str">
        <f>IFERROR(__xludf.DUMMYFUNCTION("""COMPUTED_VALUE"""),"Debt")</f>
        <v>Debt</v>
      </c>
      <c r="B96" s="33" t="str">
        <f>IFERROR(__xludf.DUMMYFUNCTION("""COMPUTED_VALUE"""),"Groceries")</f>
        <v>Groceries</v>
      </c>
      <c r="C96" s="33" t="str">
        <f>IFERROR(__xludf.DUMMYFUNCTION("""COMPUTED_VALUE"""),"Healthcare")</f>
        <v>Healthcare</v>
      </c>
      <c r="D96" s="33" t="str">
        <f>IFERROR(__xludf.DUMMYFUNCTION("""COMPUTED_VALUE"""),"Household Items")</f>
        <v>Household Items</v>
      </c>
      <c r="E96" s="33" t="str">
        <f>IFERROR(__xludf.DUMMYFUNCTION("""COMPUTED_VALUE"""),"Housing")</f>
        <v>Housing</v>
      </c>
      <c r="F96" s="33" t="str">
        <f>IFERROR(__xludf.DUMMYFUNCTION("""COMPUTED_VALUE"""),"Miscellaneous")</f>
        <v>Miscellaneous</v>
      </c>
      <c r="G96" s="33" t="str">
        <f>IFERROR(__xludf.DUMMYFUNCTION("""COMPUTED_VALUE"""),"Pet")</f>
        <v>Pet</v>
      </c>
      <c r="H96" s="33" t="str">
        <f>IFERROR(__xludf.DUMMYFUNCTION("""COMPUTED_VALUE"""),"Transportation")</f>
        <v>Transportation</v>
      </c>
      <c r="I96" s="33"/>
      <c r="J96" s="33"/>
      <c r="K96" s="33"/>
    </row>
    <row r="97">
      <c r="A97" s="33" t="str">
        <f>IFERROR(__xludf.DUMMYFUNCTION("""COMPUTED_VALUE"""),"Debt")</f>
        <v>Debt</v>
      </c>
      <c r="B97" s="33" t="str">
        <f>IFERROR(__xludf.DUMMYFUNCTION("""COMPUTED_VALUE"""),"Groceries")</f>
        <v>Groceries</v>
      </c>
      <c r="C97" s="33" t="str">
        <f>IFERROR(__xludf.DUMMYFUNCTION("""COMPUTED_VALUE"""),"Healthcare")</f>
        <v>Healthcare</v>
      </c>
      <c r="D97" s="33" t="str">
        <f>IFERROR(__xludf.DUMMYFUNCTION("""COMPUTED_VALUE"""),"Household Items")</f>
        <v>Household Items</v>
      </c>
      <c r="E97" s="33" t="str">
        <f>IFERROR(__xludf.DUMMYFUNCTION("""COMPUTED_VALUE"""),"Housing")</f>
        <v>Housing</v>
      </c>
      <c r="F97" s="33" t="str">
        <f>IFERROR(__xludf.DUMMYFUNCTION("""COMPUTED_VALUE"""),"Miscellaneous")</f>
        <v>Miscellaneous</v>
      </c>
      <c r="G97" s="33" t="str">
        <f>IFERROR(__xludf.DUMMYFUNCTION("""COMPUTED_VALUE"""),"Pet")</f>
        <v>Pet</v>
      </c>
      <c r="H97" s="33" t="str">
        <f>IFERROR(__xludf.DUMMYFUNCTION("""COMPUTED_VALUE"""),"Transportation")</f>
        <v>Transportation</v>
      </c>
      <c r="I97" s="33"/>
      <c r="J97" s="33"/>
      <c r="K97" s="33"/>
    </row>
    <row r="98">
      <c r="A98" s="33" t="str">
        <f>IFERROR(__xludf.DUMMYFUNCTION("""COMPUTED_VALUE"""),"FHSA")</f>
        <v>FHSA</v>
      </c>
      <c r="B98" s="33" t="str">
        <f>IFERROR(__xludf.DUMMYFUNCTION("""COMPUTED_VALUE"""),"RRSP")</f>
        <v>RRSP</v>
      </c>
      <c r="C98" s="33" t="str">
        <f>IFERROR(__xludf.DUMMYFUNCTION("""COMPUTED_VALUE"""),"TFSA")</f>
        <v>TFSA</v>
      </c>
      <c r="D98" s="33"/>
      <c r="E98" s="33"/>
      <c r="F98" s="33"/>
      <c r="G98" s="33"/>
      <c r="H98" s="33"/>
      <c r="I98" s="33"/>
      <c r="J98" s="33"/>
      <c r="K98" s="33"/>
    </row>
    <row r="99">
      <c r="A99" s="33" t="str">
        <f>IFERROR(__xludf.DUMMYFUNCTION("""COMPUTED_VALUE"""),"Deposit")</f>
        <v>Deposit</v>
      </c>
      <c r="B99" s="33" t="str">
        <f>IFERROR(__xludf.DUMMYFUNCTION("""COMPUTED_VALUE"""),"Withdrawal")</f>
        <v>Withdrawal</v>
      </c>
      <c r="C99" s="33"/>
      <c r="D99" s="33"/>
      <c r="E99" s="33"/>
      <c r="F99" s="33"/>
      <c r="G99" s="33"/>
      <c r="H99" s="33"/>
      <c r="I99" s="33"/>
      <c r="J99" s="33"/>
      <c r="K99" s="33"/>
    </row>
    <row r="100">
      <c r="A100" s="33" t="str">
        <f>IFERROR(__xludf.DUMMYFUNCTION("""COMPUTED_VALUE"""),"FHSA")</f>
        <v>FHSA</v>
      </c>
      <c r="B100" s="33" t="str">
        <f>IFERROR(__xludf.DUMMYFUNCTION("""COMPUTED_VALUE"""),"RRSP")</f>
        <v>RRSP</v>
      </c>
      <c r="C100" s="33" t="str">
        <f>IFERROR(__xludf.DUMMYFUNCTION("""COMPUTED_VALUE"""),"TFSA")</f>
        <v>TFSA</v>
      </c>
      <c r="D100" s="33"/>
      <c r="E100" s="33"/>
      <c r="F100" s="33"/>
      <c r="G100" s="33"/>
      <c r="H100" s="33"/>
      <c r="I100" s="33"/>
      <c r="J100" s="33"/>
      <c r="K100" s="33"/>
    </row>
    <row r="101">
      <c r="A101" s="33" t="str">
        <f>IFERROR(__xludf.DUMMYFUNCTION("""COMPUTED_VALUE"""),"Deposit")</f>
        <v>Deposit</v>
      </c>
      <c r="B101" s="33" t="str">
        <f>IFERROR(__xludf.DUMMYFUNCTION("""COMPUTED_VALUE"""),"Withdrawal")</f>
        <v>Withdrawal</v>
      </c>
      <c r="C101" s="33"/>
      <c r="D101" s="33"/>
      <c r="E101" s="33"/>
      <c r="F101" s="33"/>
      <c r="G101" s="33"/>
      <c r="H101" s="33"/>
      <c r="I101" s="33"/>
      <c r="J101" s="33"/>
      <c r="K101" s="33"/>
    </row>
    <row r="102">
      <c r="A102" s="33" t="str">
        <f>IFERROR(__xludf.DUMMYFUNCTION("""COMPUTED_VALUE"""),"Debt")</f>
        <v>Debt</v>
      </c>
      <c r="B102" s="33" t="str">
        <f>IFERROR(__xludf.DUMMYFUNCTION("""COMPUTED_VALUE"""),"Groceries")</f>
        <v>Groceries</v>
      </c>
      <c r="C102" s="33" t="str">
        <f>IFERROR(__xludf.DUMMYFUNCTION("""COMPUTED_VALUE"""),"Healthcare")</f>
        <v>Healthcare</v>
      </c>
      <c r="D102" s="33" t="str">
        <f>IFERROR(__xludf.DUMMYFUNCTION("""COMPUTED_VALUE"""),"Household Items")</f>
        <v>Household Items</v>
      </c>
      <c r="E102" s="33" t="str">
        <f>IFERROR(__xludf.DUMMYFUNCTION("""COMPUTED_VALUE"""),"Housing")</f>
        <v>Housing</v>
      </c>
      <c r="F102" s="33" t="str">
        <f>IFERROR(__xludf.DUMMYFUNCTION("""COMPUTED_VALUE"""),"Miscellaneous")</f>
        <v>Miscellaneous</v>
      </c>
      <c r="G102" s="33" t="str">
        <f>IFERROR(__xludf.DUMMYFUNCTION("""COMPUTED_VALUE"""),"Pet")</f>
        <v>Pet</v>
      </c>
      <c r="H102" s="33" t="str">
        <f>IFERROR(__xludf.DUMMYFUNCTION("""COMPUTED_VALUE"""),"Transportation")</f>
        <v>Transportation</v>
      </c>
      <c r="I102" s="33"/>
      <c r="J102" s="33"/>
      <c r="K102" s="33"/>
    </row>
    <row r="103">
      <c r="A103" s="33" t="str">
        <f>IFERROR(__xludf.DUMMYFUNCTION("""COMPUTED_VALUE"""),"Debt")</f>
        <v>Debt</v>
      </c>
      <c r="B103" s="33" t="str">
        <f>IFERROR(__xludf.DUMMYFUNCTION("""COMPUTED_VALUE"""),"Groceries")</f>
        <v>Groceries</v>
      </c>
      <c r="C103" s="33" t="str">
        <f>IFERROR(__xludf.DUMMYFUNCTION("""COMPUTED_VALUE"""),"Healthcare")</f>
        <v>Healthcare</v>
      </c>
      <c r="D103" s="33" t="str">
        <f>IFERROR(__xludf.DUMMYFUNCTION("""COMPUTED_VALUE"""),"Household Items")</f>
        <v>Household Items</v>
      </c>
      <c r="E103" s="33" t="str">
        <f>IFERROR(__xludf.DUMMYFUNCTION("""COMPUTED_VALUE"""),"Housing")</f>
        <v>Housing</v>
      </c>
      <c r="F103" s="33" t="str">
        <f>IFERROR(__xludf.DUMMYFUNCTION("""COMPUTED_VALUE"""),"Miscellaneous")</f>
        <v>Miscellaneous</v>
      </c>
      <c r="G103" s="33" t="str">
        <f>IFERROR(__xludf.DUMMYFUNCTION("""COMPUTED_VALUE"""),"Pet")</f>
        <v>Pet</v>
      </c>
      <c r="H103" s="33" t="str">
        <f>IFERROR(__xludf.DUMMYFUNCTION("""COMPUTED_VALUE"""),"Transportation")</f>
        <v>Transportation</v>
      </c>
      <c r="I103" s="33"/>
      <c r="J103" s="33"/>
      <c r="K103" s="33"/>
    </row>
    <row r="104">
      <c r="A104" s="33" t="str">
        <f>IFERROR(__xludf.DUMMYFUNCTION("""COMPUTED_VALUE"""),"Cashback")</f>
        <v>Cashback</v>
      </c>
      <c r="B104" s="33" t="str">
        <f>IFERROR(__xludf.DUMMYFUNCTION("""COMPUTED_VALUE"""),"Investment Returns")</f>
        <v>Investment Returns</v>
      </c>
      <c r="C104" s="33" t="str">
        <f>IFERROR(__xludf.DUMMYFUNCTION("""COMPUTED_VALUE"""),"Paycheck")</f>
        <v>Paycheck</v>
      </c>
      <c r="D104" s="33" t="str">
        <f>IFERROR(__xludf.DUMMYFUNCTION("""COMPUTED_VALUE"""),"Reimbursement")</f>
        <v>Reimbursement</v>
      </c>
      <c r="E104" s="33" t="str">
        <f>IFERROR(__xludf.DUMMYFUNCTION("""COMPUTED_VALUE"""),"Rewards")</f>
        <v>Rewards</v>
      </c>
      <c r="F104" s="33"/>
      <c r="G104" s="33"/>
      <c r="H104" s="33"/>
      <c r="I104" s="33"/>
      <c r="J104" s="33"/>
      <c r="K104" s="33"/>
    </row>
    <row r="105">
      <c r="A105" s="33" t="str">
        <f>IFERROR(__xludf.DUMMYFUNCTION("""COMPUTED_VALUE"""),"Cashback")</f>
        <v>Cashback</v>
      </c>
      <c r="B105" s="33" t="str">
        <f>IFERROR(__xludf.DUMMYFUNCTION("""COMPUTED_VALUE"""),"Investment Returns")</f>
        <v>Investment Returns</v>
      </c>
      <c r="C105" s="33" t="str">
        <f>IFERROR(__xludf.DUMMYFUNCTION("""COMPUTED_VALUE"""),"Paycheck")</f>
        <v>Paycheck</v>
      </c>
      <c r="D105" s="33" t="str">
        <f>IFERROR(__xludf.DUMMYFUNCTION("""COMPUTED_VALUE"""),"Reimbursement")</f>
        <v>Reimbursement</v>
      </c>
      <c r="E105" s="33" t="str">
        <f>IFERROR(__xludf.DUMMYFUNCTION("""COMPUTED_VALUE"""),"Rewards")</f>
        <v>Rewards</v>
      </c>
      <c r="F105" s="33"/>
      <c r="G105" s="33"/>
      <c r="H105" s="33"/>
      <c r="I105" s="33"/>
      <c r="J105" s="33"/>
      <c r="K105" s="33"/>
    </row>
    <row r="106">
      <c r="A106" s="33" t="str">
        <f>IFERROR(__xludf.DUMMYFUNCTION("""COMPUTED_VALUE"""),"Debt")</f>
        <v>Debt</v>
      </c>
      <c r="B106" s="33" t="str">
        <f>IFERROR(__xludf.DUMMYFUNCTION("""COMPUTED_VALUE"""),"Groceries")</f>
        <v>Groceries</v>
      </c>
      <c r="C106" s="33" t="str">
        <f>IFERROR(__xludf.DUMMYFUNCTION("""COMPUTED_VALUE"""),"Healthcare")</f>
        <v>Healthcare</v>
      </c>
      <c r="D106" s="33" t="str">
        <f>IFERROR(__xludf.DUMMYFUNCTION("""COMPUTED_VALUE"""),"Household Items")</f>
        <v>Household Items</v>
      </c>
      <c r="E106" s="33" t="str">
        <f>IFERROR(__xludf.DUMMYFUNCTION("""COMPUTED_VALUE"""),"Housing")</f>
        <v>Housing</v>
      </c>
      <c r="F106" s="33" t="str">
        <f>IFERROR(__xludf.DUMMYFUNCTION("""COMPUTED_VALUE"""),"Miscellaneous")</f>
        <v>Miscellaneous</v>
      </c>
      <c r="G106" s="33" t="str">
        <f>IFERROR(__xludf.DUMMYFUNCTION("""COMPUTED_VALUE"""),"Pet")</f>
        <v>Pet</v>
      </c>
      <c r="H106" s="33" t="str">
        <f>IFERROR(__xludf.DUMMYFUNCTION("""COMPUTED_VALUE"""),"Transportation")</f>
        <v>Transportation</v>
      </c>
      <c r="I106" s="33"/>
      <c r="J106" s="33"/>
      <c r="K106" s="33"/>
    </row>
    <row r="107">
      <c r="A107" s="33" t="str">
        <f>IFERROR(__xludf.DUMMYFUNCTION("""COMPUTED_VALUE"""),"Debt")</f>
        <v>Debt</v>
      </c>
      <c r="B107" s="33" t="str">
        <f>IFERROR(__xludf.DUMMYFUNCTION("""COMPUTED_VALUE"""),"Groceries")</f>
        <v>Groceries</v>
      </c>
      <c r="C107" s="33" t="str">
        <f>IFERROR(__xludf.DUMMYFUNCTION("""COMPUTED_VALUE"""),"Healthcare")</f>
        <v>Healthcare</v>
      </c>
      <c r="D107" s="33" t="str">
        <f>IFERROR(__xludf.DUMMYFUNCTION("""COMPUTED_VALUE"""),"Household Items")</f>
        <v>Household Items</v>
      </c>
      <c r="E107" s="33" t="str">
        <f>IFERROR(__xludf.DUMMYFUNCTION("""COMPUTED_VALUE"""),"Housing")</f>
        <v>Housing</v>
      </c>
      <c r="F107" s="33" t="str">
        <f>IFERROR(__xludf.DUMMYFUNCTION("""COMPUTED_VALUE"""),"Miscellaneous")</f>
        <v>Miscellaneous</v>
      </c>
      <c r="G107" s="33" t="str">
        <f>IFERROR(__xludf.DUMMYFUNCTION("""COMPUTED_VALUE"""),"Pet")</f>
        <v>Pet</v>
      </c>
      <c r="H107" s="33" t="str">
        <f>IFERROR(__xludf.DUMMYFUNCTION("""COMPUTED_VALUE"""),"Transportation")</f>
        <v>Transportation</v>
      </c>
      <c r="I107" s="33"/>
      <c r="J107" s="33"/>
      <c r="K107" s="33"/>
    </row>
    <row r="108">
      <c r="A108" s="33" t="str">
        <f>IFERROR(__xludf.DUMMYFUNCTION("""COMPUTED_VALUE"""),"Debt")</f>
        <v>Debt</v>
      </c>
      <c r="B108" s="33" t="str">
        <f>IFERROR(__xludf.DUMMYFUNCTION("""COMPUTED_VALUE"""),"Groceries")</f>
        <v>Groceries</v>
      </c>
      <c r="C108" s="33" t="str">
        <f>IFERROR(__xludf.DUMMYFUNCTION("""COMPUTED_VALUE"""),"Healthcare")</f>
        <v>Healthcare</v>
      </c>
      <c r="D108" s="33" t="str">
        <f>IFERROR(__xludf.DUMMYFUNCTION("""COMPUTED_VALUE"""),"Household Items")</f>
        <v>Household Items</v>
      </c>
      <c r="E108" s="33" t="str">
        <f>IFERROR(__xludf.DUMMYFUNCTION("""COMPUTED_VALUE"""),"Housing")</f>
        <v>Housing</v>
      </c>
      <c r="F108" s="33" t="str">
        <f>IFERROR(__xludf.DUMMYFUNCTION("""COMPUTED_VALUE"""),"Miscellaneous")</f>
        <v>Miscellaneous</v>
      </c>
      <c r="G108" s="33" t="str">
        <f>IFERROR(__xludf.DUMMYFUNCTION("""COMPUTED_VALUE"""),"Pet")</f>
        <v>Pet</v>
      </c>
      <c r="H108" s="33" t="str">
        <f>IFERROR(__xludf.DUMMYFUNCTION("""COMPUTED_VALUE"""),"Transportation")</f>
        <v>Transportation</v>
      </c>
      <c r="I108" s="33"/>
      <c r="J108" s="33"/>
      <c r="K108" s="33"/>
    </row>
    <row r="109">
      <c r="A109" s="33" t="str">
        <f>IFERROR(__xludf.DUMMYFUNCTION("""COMPUTED_VALUE"""),"Debt")</f>
        <v>Debt</v>
      </c>
      <c r="B109" s="33" t="str">
        <f>IFERROR(__xludf.DUMMYFUNCTION("""COMPUTED_VALUE"""),"Groceries")</f>
        <v>Groceries</v>
      </c>
      <c r="C109" s="33" t="str">
        <f>IFERROR(__xludf.DUMMYFUNCTION("""COMPUTED_VALUE"""),"Healthcare")</f>
        <v>Healthcare</v>
      </c>
      <c r="D109" s="33" t="str">
        <f>IFERROR(__xludf.DUMMYFUNCTION("""COMPUTED_VALUE"""),"Household Items")</f>
        <v>Household Items</v>
      </c>
      <c r="E109" s="33" t="str">
        <f>IFERROR(__xludf.DUMMYFUNCTION("""COMPUTED_VALUE"""),"Housing")</f>
        <v>Housing</v>
      </c>
      <c r="F109" s="33" t="str">
        <f>IFERROR(__xludf.DUMMYFUNCTION("""COMPUTED_VALUE"""),"Miscellaneous")</f>
        <v>Miscellaneous</v>
      </c>
      <c r="G109" s="33" t="str">
        <f>IFERROR(__xludf.DUMMYFUNCTION("""COMPUTED_VALUE"""),"Pet")</f>
        <v>Pet</v>
      </c>
      <c r="H109" s="33" t="str">
        <f>IFERROR(__xludf.DUMMYFUNCTION("""COMPUTED_VALUE"""),"Transportation")</f>
        <v>Transportation</v>
      </c>
      <c r="I109" s="33"/>
      <c r="J109" s="33"/>
      <c r="K109" s="33"/>
    </row>
    <row r="110">
      <c r="A110" s="33" t="str">
        <f>IFERROR(__xludf.DUMMYFUNCTION("""COMPUTED_VALUE"""),"Debt")</f>
        <v>Debt</v>
      </c>
      <c r="B110" s="33" t="str">
        <f>IFERROR(__xludf.DUMMYFUNCTION("""COMPUTED_VALUE"""),"Groceries")</f>
        <v>Groceries</v>
      </c>
      <c r="C110" s="33" t="str">
        <f>IFERROR(__xludf.DUMMYFUNCTION("""COMPUTED_VALUE"""),"Healthcare")</f>
        <v>Healthcare</v>
      </c>
      <c r="D110" s="33" t="str">
        <f>IFERROR(__xludf.DUMMYFUNCTION("""COMPUTED_VALUE"""),"Household Items")</f>
        <v>Household Items</v>
      </c>
      <c r="E110" s="33" t="str">
        <f>IFERROR(__xludf.DUMMYFUNCTION("""COMPUTED_VALUE"""),"Housing")</f>
        <v>Housing</v>
      </c>
      <c r="F110" s="33" t="str">
        <f>IFERROR(__xludf.DUMMYFUNCTION("""COMPUTED_VALUE"""),"Miscellaneous")</f>
        <v>Miscellaneous</v>
      </c>
      <c r="G110" s="33" t="str">
        <f>IFERROR(__xludf.DUMMYFUNCTION("""COMPUTED_VALUE"""),"Pet")</f>
        <v>Pet</v>
      </c>
      <c r="H110" s="33" t="str">
        <f>IFERROR(__xludf.DUMMYFUNCTION("""COMPUTED_VALUE"""),"Transportation")</f>
        <v>Transportation</v>
      </c>
      <c r="I110" s="33"/>
      <c r="J110" s="33"/>
      <c r="K110" s="33"/>
    </row>
    <row r="111">
      <c r="A111" s="33" t="str">
        <f>IFERROR(__xludf.DUMMYFUNCTION("""COMPUTED_VALUE"""),"Debt")</f>
        <v>Debt</v>
      </c>
      <c r="B111" s="33" t="str">
        <f>IFERROR(__xludf.DUMMYFUNCTION("""COMPUTED_VALUE"""),"Groceries")</f>
        <v>Groceries</v>
      </c>
      <c r="C111" s="33" t="str">
        <f>IFERROR(__xludf.DUMMYFUNCTION("""COMPUTED_VALUE"""),"Healthcare")</f>
        <v>Healthcare</v>
      </c>
      <c r="D111" s="33" t="str">
        <f>IFERROR(__xludf.DUMMYFUNCTION("""COMPUTED_VALUE"""),"Household Items")</f>
        <v>Household Items</v>
      </c>
      <c r="E111" s="33" t="str">
        <f>IFERROR(__xludf.DUMMYFUNCTION("""COMPUTED_VALUE"""),"Housing")</f>
        <v>Housing</v>
      </c>
      <c r="F111" s="33" t="str">
        <f>IFERROR(__xludf.DUMMYFUNCTION("""COMPUTED_VALUE"""),"Miscellaneous")</f>
        <v>Miscellaneous</v>
      </c>
      <c r="G111" s="33" t="str">
        <f>IFERROR(__xludf.DUMMYFUNCTION("""COMPUTED_VALUE"""),"Pet")</f>
        <v>Pet</v>
      </c>
      <c r="H111" s="33" t="str">
        <f>IFERROR(__xludf.DUMMYFUNCTION("""COMPUTED_VALUE"""),"Transportation")</f>
        <v>Transportation</v>
      </c>
      <c r="I111" s="33"/>
      <c r="J111" s="33"/>
      <c r="K111" s="33"/>
    </row>
    <row r="112">
      <c r="A112" s="33" t="str">
        <f>IFERROR(__xludf.DUMMYFUNCTION("""COMPUTED_VALUE"""),"Debt")</f>
        <v>Debt</v>
      </c>
      <c r="B112" s="33" t="str">
        <f>IFERROR(__xludf.DUMMYFUNCTION("""COMPUTED_VALUE"""),"Groceries")</f>
        <v>Groceries</v>
      </c>
      <c r="C112" s="33" t="str">
        <f>IFERROR(__xludf.DUMMYFUNCTION("""COMPUTED_VALUE"""),"Healthcare")</f>
        <v>Healthcare</v>
      </c>
      <c r="D112" s="33" t="str">
        <f>IFERROR(__xludf.DUMMYFUNCTION("""COMPUTED_VALUE"""),"Household Items")</f>
        <v>Household Items</v>
      </c>
      <c r="E112" s="33" t="str">
        <f>IFERROR(__xludf.DUMMYFUNCTION("""COMPUTED_VALUE"""),"Housing")</f>
        <v>Housing</v>
      </c>
      <c r="F112" s="33" t="str">
        <f>IFERROR(__xludf.DUMMYFUNCTION("""COMPUTED_VALUE"""),"Miscellaneous")</f>
        <v>Miscellaneous</v>
      </c>
      <c r="G112" s="33" t="str">
        <f>IFERROR(__xludf.DUMMYFUNCTION("""COMPUTED_VALUE"""),"Pet")</f>
        <v>Pet</v>
      </c>
      <c r="H112" s="33" t="str">
        <f>IFERROR(__xludf.DUMMYFUNCTION("""COMPUTED_VALUE"""),"Transportation")</f>
        <v>Transportation</v>
      </c>
      <c r="I112" s="33"/>
      <c r="J112" s="33"/>
      <c r="K112" s="33"/>
    </row>
    <row r="113">
      <c r="A113" s="33" t="str">
        <f>IFERROR(__xludf.DUMMYFUNCTION("""COMPUTED_VALUE"""),"Debt")</f>
        <v>Debt</v>
      </c>
      <c r="B113" s="33" t="str">
        <f>IFERROR(__xludf.DUMMYFUNCTION("""COMPUTED_VALUE"""),"Groceries")</f>
        <v>Groceries</v>
      </c>
      <c r="C113" s="33" t="str">
        <f>IFERROR(__xludf.DUMMYFUNCTION("""COMPUTED_VALUE"""),"Healthcare")</f>
        <v>Healthcare</v>
      </c>
      <c r="D113" s="33" t="str">
        <f>IFERROR(__xludf.DUMMYFUNCTION("""COMPUTED_VALUE"""),"Household Items")</f>
        <v>Household Items</v>
      </c>
      <c r="E113" s="33" t="str">
        <f>IFERROR(__xludf.DUMMYFUNCTION("""COMPUTED_VALUE"""),"Housing")</f>
        <v>Housing</v>
      </c>
      <c r="F113" s="33" t="str">
        <f>IFERROR(__xludf.DUMMYFUNCTION("""COMPUTED_VALUE"""),"Miscellaneous")</f>
        <v>Miscellaneous</v>
      </c>
      <c r="G113" s="33" t="str">
        <f>IFERROR(__xludf.DUMMYFUNCTION("""COMPUTED_VALUE"""),"Pet")</f>
        <v>Pet</v>
      </c>
      <c r="H113" s="33" t="str">
        <f>IFERROR(__xludf.DUMMYFUNCTION("""COMPUTED_VALUE"""),"Transportation")</f>
        <v>Transportation</v>
      </c>
      <c r="I113" s="33"/>
      <c r="J113" s="33"/>
      <c r="K113" s="33"/>
    </row>
    <row r="114">
      <c r="A114" s="33" t="str">
        <f>IFERROR(__xludf.DUMMYFUNCTION("""COMPUTED_VALUE"""),"Debt")</f>
        <v>Debt</v>
      </c>
      <c r="B114" s="33" t="str">
        <f>IFERROR(__xludf.DUMMYFUNCTION("""COMPUTED_VALUE"""),"Groceries")</f>
        <v>Groceries</v>
      </c>
      <c r="C114" s="33" t="str">
        <f>IFERROR(__xludf.DUMMYFUNCTION("""COMPUTED_VALUE"""),"Healthcare")</f>
        <v>Healthcare</v>
      </c>
      <c r="D114" s="33" t="str">
        <f>IFERROR(__xludf.DUMMYFUNCTION("""COMPUTED_VALUE"""),"Household Items")</f>
        <v>Household Items</v>
      </c>
      <c r="E114" s="33" t="str">
        <f>IFERROR(__xludf.DUMMYFUNCTION("""COMPUTED_VALUE"""),"Housing")</f>
        <v>Housing</v>
      </c>
      <c r="F114" s="33" t="str">
        <f>IFERROR(__xludf.DUMMYFUNCTION("""COMPUTED_VALUE"""),"Miscellaneous")</f>
        <v>Miscellaneous</v>
      </c>
      <c r="G114" s="33" t="str">
        <f>IFERROR(__xludf.DUMMYFUNCTION("""COMPUTED_VALUE"""),"Pet")</f>
        <v>Pet</v>
      </c>
      <c r="H114" s="33" t="str">
        <f>IFERROR(__xludf.DUMMYFUNCTION("""COMPUTED_VALUE"""),"Transportation")</f>
        <v>Transportation</v>
      </c>
      <c r="I114" s="33"/>
      <c r="J114" s="33"/>
      <c r="K114" s="33"/>
    </row>
    <row r="115">
      <c r="A115" s="33" t="str">
        <f>IFERROR(__xludf.DUMMYFUNCTION("""COMPUTED_VALUE"""),"Debt")</f>
        <v>Debt</v>
      </c>
      <c r="B115" s="33" t="str">
        <f>IFERROR(__xludf.DUMMYFUNCTION("""COMPUTED_VALUE"""),"Groceries")</f>
        <v>Groceries</v>
      </c>
      <c r="C115" s="33" t="str">
        <f>IFERROR(__xludf.DUMMYFUNCTION("""COMPUTED_VALUE"""),"Healthcare")</f>
        <v>Healthcare</v>
      </c>
      <c r="D115" s="33" t="str">
        <f>IFERROR(__xludf.DUMMYFUNCTION("""COMPUTED_VALUE"""),"Household Items")</f>
        <v>Household Items</v>
      </c>
      <c r="E115" s="33" t="str">
        <f>IFERROR(__xludf.DUMMYFUNCTION("""COMPUTED_VALUE"""),"Housing")</f>
        <v>Housing</v>
      </c>
      <c r="F115" s="33" t="str">
        <f>IFERROR(__xludf.DUMMYFUNCTION("""COMPUTED_VALUE"""),"Miscellaneous")</f>
        <v>Miscellaneous</v>
      </c>
      <c r="G115" s="33" t="str">
        <f>IFERROR(__xludf.DUMMYFUNCTION("""COMPUTED_VALUE"""),"Pet")</f>
        <v>Pet</v>
      </c>
      <c r="H115" s="33" t="str">
        <f>IFERROR(__xludf.DUMMYFUNCTION("""COMPUTED_VALUE"""),"Transportation")</f>
        <v>Transportation</v>
      </c>
      <c r="I115" s="33"/>
      <c r="J115" s="33"/>
      <c r="K115" s="33"/>
    </row>
    <row r="116">
      <c r="A116" s="33" t="str">
        <f>IFERROR(__xludf.DUMMYFUNCTION("""COMPUTED_VALUE"""),"Debt")</f>
        <v>Debt</v>
      </c>
      <c r="B116" s="33" t="str">
        <f>IFERROR(__xludf.DUMMYFUNCTION("""COMPUTED_VALUE"""),"Groceries")</f>
        <v>Groceries</v>
      </c>
      <c r="C116" s="33" t="str">
        <f>IFERROR(__xludf.DUMMYFUNCTION("""COMPUTED_VALUE"""),"Healthcare")</f>
        <v>Healthcare</v>
      </c>
      <c r="D116" s="33" t="str">
        <f>IFERROR(__xludf.DUMMYFUNCTION("""COMPUTED_VALUE"""),"Household Items")</f>
        <v>Household Items</v>
      </c>
      <c r="E116" s="33" t="str">
        <f>IFERROR(__xludf.DUMMYFUNCTION("""COMPUTED_VALUE"""),"Housing")</f>
        <v>Housing</v>
      </c>
      <c r="F116" s="33" t="str">
        <f>IFERROR(__xludf.DUMMYFUNCTION("""COMPUTED_VALUE"""),"Miscellaneous")</f>
        <v>Miscellaneous</v>
      </c>
      <c r="G116" s="33" t="str">
        <f>IFERROR(__xludf.DUMMYFUNCTION("""COMPUTED_VALUE"""),"Pet")</f>
        <v>Pet</v>
      </c>
      <c r="H116" s="33" t="str">
        <f>IFERROR(__xludf.DUMMYFUNCTION("""COMPUTED_VALUE"""),"Transportation")</f>
        <v>Transportation</v>
      </c>
      <c r="I116" s="33"/>
      <c r="J116" s="33"/>
      <c r="K116" s="33"/>
    </row>
    <row r="117">
      <c r="A117" s="33" t="str">
        <f>IFERROR(__xludf.DUMMYFUNCTION("""COMPUTED_VALUE"""),"Debt")</f>
        <v>Debt</v>
      </c>
      <c r="B117" s="33" t="str">
        <f>IFERROR(__xludf.DUMMYFUNCTION("""COMPUTED_VALUE"""),"Groceries")</f>
        <v>Groceries</v>
      </c>
      <c r="C117" s="33" t="str">
        <f>IFERROR(__xludf.DUMMYFUNCTION("""COMPUTED_VALUE"""),"Healthcare")</f>
        <v>Healthcare</v>
      </c>
      <c r="D117" s="33" t="str">
        <f>IFERROR(__xludf.DUMMYFUNCTION("""COMPUTED_VALUE"""),"Household Items")</f>
        <v>Household Items</v>
      </c>
      <c r="E117" s="33" t="str">
        <f>IFERROR(__xludf.DUMMYFUNCTION("""COMPUTED_VALUE"""),"Housing")</f>
        <v>Housing</v>
      </c>
      <c r="F117" s="33" t="str">
        <f>IFERROR(__xludf.DUMMYFUNCTION("""COMPUTED_VALUE"""),"Miscellaneous")</f>
        <v>Miscellaneous</v>
      </c>
      <c r="G117" s="33" t="str">
        <f>IFERROR(__xludf.DUMMYFUNCTION("""COMPUTED_VALUE"""),"Pet")</f>
        <v>Pet</v>
      </c>
      <c r="H117" s="33" t="str">
        <f>IFERROR(__xludf.DUMMYFUNCTION("""COMPUTED_VALUE"""),"Transportation")</f>
        <v>Transportation</v>
      </c>
      <c r="I117" s="33"/>
      <c r="J117" s="33"/>
      <c r="K117" s="33"/>
    </row>
    <row r="118">
      <c r="A118" s="33" t="str">
        <f>IFERROR(__xludf.DUMMYFUNCTION("""COMPUTED_VALUE"""),"Debt")</f>
        <v>Debt</v>
      </c>
      <c r="B118" s="33" t="str">
        <f>IFERROR(__xludf.DUMMYFUNCTION("""COMPUTED_VALUE"""),"Groceries")</f>
        <v>Groceries</v>
      </c>
      <c r="C118" s="33" t="str">
        <f>IFERROR(__xludf.DUMMYFUNCTION("""COMPUTED_VALUE"""),"Healthcare")</f>
        <v>Healthcare</v>
      </c>
      <c r="D118" s="33" t="str">
        <f>IFERROR(__xludf.DUMMYFUNCTION("""COMPUTED_VALUE"""),"Household Items")</f>
        <v>Household Items</v>
      </c>
      <c r="E118" s="33" t="str">
        <f>IFERROR(__xludf.DUMMYFUNCTION("""COMPUTED_VALUE"""),"Housing")</f>
        <v>Housing</v>
      </c>
      <c r="F118" s="33" t="str">
        <f>IFERROR(__xludf.DUMMYFUNCTION("""COMPUTED_VALUE"""),"Miscellaneous")</f>
        <v>Miscellaneous</v>
      </c>
      <c r="G118" s="33" t="str">
        <f>IFERROR(__xludf.DUMMYFUNCTION("""COMPUTED_VALUE"""),"Pet")</f>
        <v>Pet</v>
      </c>
      <c r="H118" s="33" t="str">
        <f>IFERROR(__xludf.DUMMYFUNCTION("""COMPUTED_VALUE"""),"Transportation")</f>
        <v>Transportation</v>
      </c>
      <c r="I118" s="33"/>
      <c r="J118" s="33"/>
      <c r="K118" s="33"/>
    </row>
    <row r="119">
      <c r="A119" s="33" t="str">
        <f>IFERROR(__xludf.DUMMYFUNCTION("""COMPUTED_VALUE"""),"Debt")</f>
        <v>Debt</v>
      </c>
      <c r="B119" s="33" t="str">
        <f>IFERROR(__xludf.DUMMYFUNCTION("""COMPUTED_VALUE"""),"Groceries")</f>
        <v>Groceries</v>
      </c>
      <c r="C119" s="33" t="str">
        <f>IFERROR(__xludf.DUMMYFUNCTION("""COMPUTED_VALUE"""),"Healthcare")</f>
        <v>Healthcare</v>
      </c>
      <c r="D119" s="33" t="str">
        <f>IFERROR(__xludf.DUMMYFUNCTION("""COMPUTED_VALUE"""),"Household Items")</f>
        <v>Household Items</v>
      </c>
      <c r="E119" s="33" t="str">
        <f>IFERROR(__xludf.DUMMYFUNCTION("""COMPUTED_VALUE"""),"Housing")</f>
        <v>Housing</v>
      </c>
      <c r="F119" s="33" t="str">
        <f>IFERROR(__xludf.DUMMYFUNCTION("""COMPUTED_VALUE"""),"Miscellaneous")</f>
        <v>Miscellaneous</v>
      </c>
      <c r="G119" s="33" t="str">
        <f>IFERROR(__xludf.DUMMYFUNCTION("""COMPUTED_VALUE"""),"Pet")</f>
        <v>Pet</v>
      </c>
      <c r="H119" s="33" t="str">
        <f>IFERROR(__xludf.DUMMYFUNCTION("""COMPUTED_VALUE"""),"Transportation")</f>
        <v>Transportation</v>
      </c>
      <c r="I119" s="33"/>
      <c r="J119" s="33"/>
      <c r="K119" s="33"/>
    </row>
    <row r="120">
      <c r="A120" s="33" t="str">
        <f>IFERROR(__xludf.DUMMYFUNCTION("""COMPUTED_VALUE"""),"Clothing")</f>
        <v>Clothing</v>
      </c>
      <c r="B120" s="33" t="str">
        <f>IFERROR(__xludf.DUMMYFUNCTION("""COMPUTED_VALUE"""),"Gaming")</f>
        <v>Gaming</v>
      </c>
      <c r="C120" s="33" t="str">
        <f>IFERROR(__xludf.DUMMYFUNCTION("""COMPUTED_VALUE"""),"Gifts")</f>
        <v>Gifts</v>
      </c>
      <c r="D120" s="33" t="str">
        <f>IFERROR(__xludf.DUMMYFUNCTION("""COMPUTED_VALUE"""),"Healthcare")</f>
        <v>Healthcare</v>
      </c>
      <c r="E120" s="33" t="str">
        <f>IFERROR(__xludf.DUMMYFUNCTION("""COMPUTED_VALUE"""),"Hobbies")</f>
        <v>Hobbies</v>
      </c>
      <c r="F120" s="33" t="str">
        <f>IFERROR(__xludf.DUMMYFUNCTION("""COMPUTED_VALUE"""),"Subscriptions")</f>
        <v>Subscriptions</v>
      </c>
      <c r="G120" s="33"/>
      <c r="H120" s="33"/>
      <c r="I120" s="33"/>
      <c r="J120" s="33"/>
      <c r="K120" s="33"/>
    </row>
    <row r="121">
      <c r="A121" s="33" t="str">
        <f>IFERROR(__xludf.DUMMYFUNCTION("""COMPUTED_VALUE"""),"Dining Out")</f>
        <v>Dining Out</v>
      </c>
      <c r="B121" s="33" t="str">
        <f>IFERROR(__xludf.DUMMYFUNCTION("""COMPUTED_VALUE"""),"Entertainment")</f>
        <v>Entertainment</v>
      </c>
      <c r="C121" s="33" t="str">
        <f>IFERROR(__xludf.DUMMYFUNCTION("""COMPUTED_VALUE"""),"Gaming")</f>
        <v>Gaming</v>
      </c>
      <c r="D121" s="33" t="str">
        <f>IFERROR(__xludf.DUMMYFUNCTION("""COMPUTED_VALUE"""),"Gifts")</f>
        <v>Gifts</v>
      </c>
      <c r="E121" s="33" t="str">
        <f>IFERROR(__xludf.DUMMYFUNCTION("""COMPUTED_VALUE"""),"Groceries")</f>
        <v>Groceries</v>
      </c>
      <c r="F121" s="33" t="str">
        <f>IFERROR(__xludf.DUMMYFUNCTION("""COMPUTED_VALUE"""),"Healthcare")</f>
        <v>Healthcare</v>
      </c>
      <c r="G121" s="33" t="str">
        <f>IFERROR(__xludf.DUMMYFUNCTION("""COMPUTED_VALUE"""),"Hobbies")</f>
        <v>Hobbies</v>
      </c>
      <c r="H121" s="33" t="str">
        <f>IFERROR(__xludf.DUMMYFUNCTION("""COMPUTED_VALUE"""),"Household Items")</f>
        <v>Household Items</v>
      </c>
      <c r="I121" s="33" t="str">
        <f>IFERROR(__xludf.DUMMYFUNCTION("""COMPUTED_VALUE"""),"Subscriptions")</f>
        <v>Subscriptions</v>
      </c>
      <c r="J121" s="33" t="str">
        <f>IFERROR(__xludf.DUMMYFUNCTION("""COMPUTED_VALUE"""),"Transportation")</f>
        <v>Transportation</v>
      </c>
      <c r="K121" s="33" t="str">
        <f>IFERROR(__xludf.DUMMYFUNCTION("""COMPUTED_VALUE"""),"Travel")</f>
        <v>Travel</v>
      </c>
    </row>
    <row r="122">
      <c r="A122" s="33" t="str">
        <f>IFERROR(__xludf.DUMMYFUNCTION("""COMPUTED_VALUE"""),"Debt")</f>
        <v>Debt</v>
      </c>
      <c r="B122" s="33" t="str">
        <f>IFERROR(__xludf.DUMMYFUNCTION("""COMPUTED_VALUE"""),"Groceries")</f>
        <v>Groceries</v>
      </c>
      <c r="C122" s="33" t="str">
        <f>IFERROR(__xludf.DUMMYFUNCTION("""COMPUTED_VALUE"""),"Healthcare")</f>
        <v>Healthcare</v>
      </c>
      <c r="D122" s="33" t="str">
        <f>IFERROR(__xludf.DUMMYFUNCTION("""COMPUTED_VALUE"""),"Household Items")</f>
        <v>Household Items</v>
      </c>
      <c r="E122" s="33" t="str">
        <f>IFERROR(__xludf.DUMMYFUNCTION("""COMPUTED_VALUE"""),"Housing")</f>
        <v>Housing</v>
      </c>
      <c r="F122" s="33" t="str">
        <f>IFERROR(__xludf.DUMMYFUNCTION("""COMPUTED_VALUE"""),"Miscellaneous")</f>
        <v>Miscellaneous</v>
      </c>
      <c r="G122" s="33" t="str">
        <f>IFERROR(__xludf.DUMMYFUNCTION("""COMPUTED_VALUE"""),"Pet")</f>
        <v>Pet</v>
      </c>
      <c r="H122" s="33" t="str">
        <f>IFERROR(__xludf.DUMMYFUNCTION("""COMPUTED_VALUE"""),"Transportation")</f>
        <v>Transportation</v>
      </c>
      <c r="I122" s="33"/>
      <c r="J122" s="33"/>
      <c r="K122" s="33"/>
    </row>
    <row r="123">
      <c r="A123" s="33" t="str">
        <f>IFERROR(__xludf.DUMMYFUNCTION("""COMPUTED_VALUE"""),"Deposit")</f>
        <v>Deposit</v>
      </c>
      <c r="B123" s="33" t="str">
        <f>IFERROR(__xludf.DUMMYFUNCTION("""COMPUTED_VALUE"""),"Withdrawal")</f>
        <v>Withdrawal</v>
      </c>
      <c r="C123" s="33"/>
      <c r="D123" s="33"/>
      <c r="E123" s="33"/>
      <c r="F123" s="33"/>
      <c r="G123" s="33"/>
      <c r="H123" s="33"/>
      <c r="I123" s="33"/>
      <c r="J123" s="33"/>
      <c r="K123" s="33"/>
    </row>
    <row r="124">
      <c r="A124" s="33" t="str">
        <f>IFERROR(__xludf.DUMMYFUNCTION("""COMPUTED_VALUE"""),"Deposit")</f>
        <v>Deposit</v>
      </c>
      <c r="B124" s="33" t="str">
        <f>IFERROR(__xludf.DUMMYFUNCTION("""COMPUTED_VALUE"""),"Withdrawal")</f>
        <v>Withdrawal</v>
      </c>
      <c r="C124" s="33"/>
      <c r="D124" s="33"/>
      <c r="E124" s="33"/>
      <c r="F124" s="33"/>
      <c r="G124" s="33"/>
      <c r="H124" s="33"/>
      <c r="I124" s="33"/>
      <c r="J124" s="33"/>
      <c r="K124" s="33"/>
    </row>
    <row r="125">
      <c r="A125" s="33" t="str">
        <f>IFERROR(__xludf.DUMMYFUNCTION("""COMPUTED_VALUE"""),"Debt")</f>
        <v>Debt</v>
      </c>
      <c r="B125" s="33" t="str">
        <f>IFERROR(__xludf.DUMMYFUNCTION("""COMPUTED_VALUE"""),"Groceries")</f>
        <v>Groceries</v>
      </c>
      <c r="C125" s="33" t="str">
        <f>IFERROR(__xludf.DUMMYFUNCTION("""COMPUTED_VALUE"""),"Healthcare")</f>
        <v>Healthcare</v>
      </c>
      <c r="D125" s="33" t="str">
        <f>IFERROR(__xludf.DUMMYFUNCTION("""COMPUTED_VALUE"""),"Household Items")</f>
        <v>Household Items</v>
      </c>
      <c r="E125" s="33" t="str">
        <f>IFERROR(__xludf.DUMMYFUNCTION("""COMPUTED_VALUE"""),"Housing")</f>
        <v>Housing</v>
      </c>
      <c r="F125" s="33" t="str">
        <f>IFERROR(__xludf.DUMMYFUNCTION("""COMPUTED_VALUE"""),"Miscellaneous")</f>
        <v>Miscellaneous</v>
      </c>
      <c r="G125" s="33" t="str">
        <f>IFERROR(__xludf.DUMMYFUNCTION("""COMPUTED_VALUE"""),"Pet")</f>
        <v>Pet</v>
      </c>
      <c r="H125" s="33" t="str">
        <f>IFERROR(__xludf.DUMMYFUNCTION("""COMPUTED_VALUE"""),"Transportation")</f>
        <v>Transportation</v>
      </c>
      <c r="I125" s="33"/>
      <c r="J125" s="33"/>
      <c r="K125" s="33"/>
    </row>
    <row r="126">
      <c r="A126" s="33" t="str">
        <f>IFERROR(__xludf.DUMMYFUNCTION("""COMPUTED_VALUE"""),"Debt")</f>
        <v>Debt</v>
      </c>
      <c r="B126" s="33" t="str">
        <f>IFERROR(__xludf.DUMMYFUNCTION("""COMPUTED_VALUE"""),"Groceries")</f>
        <v>Groceries</v>
      </c>
      <c r="C126" s="33" t="str">
        <f>IFERROR(__xludf.DUMMYFUNCTION("""COMPUTED_VALUE"""),"Healthcare")</f>
        <v>Healthcare</v>
      </c>
      <c r="D126" s="33" t="str">
        <f>IFERROR(__xludf.DUMMYFUNCTION("""COMPUTED_VALUE"""),"Household Items")</f>
        <v>Household Items</v>
      </c>
      <c r="E126" s="33" t="str">
        <f>IFERROR(__xludf.DUMMYFUNCTION("""COMPUTED_VALUE"""),"Housing")</f>
        <v>Housing</v>
      </c>
      <c r="F126" s="33" t="str">
        <f>IFERROR(__xludf.DUMMYFUNCTION("""COMPUTED_VALUE"""),"Miscellaneous")</f>
        <v>Miscellaneous</v>
      </c>
      <c r="G126" s="33" t="str">
        <f>IFERROR(__xludf.DUMMYFUNCTION("""COMPUTED_VALUE"""),"Pet")</f>
        <v>Pet</v>
      </c>
      <c r="H126" s="33" t="str">
        <f>IFERROR(__xludf.DUMMYFUNCTION("""COMPUTED_VALUE"""),"Transportation")</f>
        <v>Transportation</v>
      </c>
      <c r="I126" s="33"/>
      <c r="J126" s="33"/>
      <c r="K126" s="33"/>
    </row>
    <row r="127">
      <c r="A127" s="33" t="str">
        <f>IFERROR(__xludf.DUMMYFUNCTION("""COMPUTED_VALUE"""),"Debt")</f>
        <v>Debt</v>
      </c>
      <c r="B127" s="33" t="str">
        <f>IFERROR(__xludf.DUMMYFUNCTION("""COMPUTED_VALUE"""),"Groceries")</f>
        <v>Groceries</v>
      </c>
      <c r="C127" s="33" t="str">
        <f>IFERROR(__xludf.DUMMYFUNCTION("""COMPUTED_VALUE"""),"Healthcare")</f>
        <v>Healthcare</v>
      </c>
      <c r="D127" s="33" t="str">
        <f>IFERROR(__xludf.DUMMYFUNCTION("""COMPUTED_VALUE"""),"Household Items")</f>
        <v>Household Items</v>
      </c>
      <c r="E127" s="33" t="str">
        <f>IFERROR(__xludf.DUMMYFUNCTION("""COMPUTED_VALUE"""),"Housing")</f>
        <v>Housing</v>
      </c>
      <c r="F127" s="33" t="str">
        <f>IFERROR(__xludf.DUMMYFUNCTION("""COMPUTED_VALUE"""),"Miscellaneous")</f>
        <v>Miscellaneous</v>
      </c>
      <c r="G127" s="33" t="str">
        <f>IFERROR(__xludf.DUMMYFUNCTION("""COMPUTED_VALUE"""),"Pet")</f>
        <v>Pet</v>
      </c>
      <c r="H127" s="33" t="str">
        <f>IFERROR(__xludf.DUMMYFUNCTION("""COMPUTED_VALUE"""),"Transportation")</f>
        <v>Transportation</v>
      </c>
      <c r="I127" s="33"/>
      <c r="J127" s="33"/>
      <c r="K127" s="33"/>
    </row>
    <row r="128">
      <c r="A128" s="33" t="str">
        <f>IFERROR(__xludf.DUMMYFUNCTION("""COMPUTED_VALUE"""),"Cashback")</f>
        <v>Cashback</v>
      </c>
      <c r="B128" s="33" t="str">
        <f>IFERROR(__xludf.DUMMYFUNCTION("""COMPUTED_VALUE"""),"Investment Returns")</f>
        <v>Investment Returns</v>
      </c>
      <c r="C128" s="33" t="str">
        <f>IFERROR(__xludf.DUMMYFUNCTION("""COMPUTED_VALUE"""),"Paycheck")</f>
        <v>Paycheck</v>
      </c>
      <c r="D128" s="33" t="str">
        <f>IFERROR(__xludf.DUMMYFUNCTION("""COMPUTED_VALUE"""),"Reimbursement")</f>
        <v>Reimbursement</v>
      </c>
      <c r="E128" s="33" t="str">
        <f>IFERROR(__xludf.DUMMYFUNCTION("""COMPUTED_VALUE"""),"Rewards")</f>
        <v>Rewards</v>
      </c>
      <c r="F128" s="33"/>
      <c r="G128" s="33"/>
      <c r="H128" s="33"/>
      <c r="I128" s="33"/>
      <c r="J128" s="33"/>
      <c r="K128" s="33"/>
    </row>
    <row r="129">
      <c r="A129" s="33" t="str">
        <f>IFERROR(__xludf.DUMMYFUNCTION("""COMPUTED_VALUE"""),"Dining Out")</f>
        <v>Dining Out</v>
      </c>
      <c r="B129" s="33" t="str">
        <f>IFERROR(__xludf.DUMMYFUNCTION("""COMPUTED_VALUE"""),"Entertainment")</f>
        <v>Entertainment</v>
      </c>
      <c r="C129" s="33" t="str">
        <f>IFERROR(__xludf.DUMMYFUNCTION("""COMPUTED_VALUE"""),"Gaming")</f>
        <v>Gaming</v>
      </c>
      <c r="D129" s="33" t="str">
        <f>IFERROR(__xludf.DUMMYFUNCTION("""COMPUTED_VALUE"""),"Gifts")</f>
        <v>Gifts</v>
      </c>
      <c r="E129" s="33" t="str">
        <f>IFERROR(__xludf.DUMMYFUNCTION("""COMPUTED_VALUE"""),"Groceries")</f>
        <v>Groceries</v>
      </c>
      <c r="F129" s="33" t="str">
        <f>IFERROR(__xludf.DUMMYFUNCTION("""COMPUTED_VALUE"""),"Healthcare")</f>
        <v>Healthcare</v>
      </c>
      <c r="G129" s="33" t="str">
        <f>IFERROR(__xludf.DUMMYFUNCTION("""COMPUTED_VALUE"""),"Hobbies")</f>
        <v>Hobbies</v>
      </c>
      <c r="H129" s="33" t="str">
        <f>IFERROR(__xludf.DUMMYFUNCTION("""COMPUTED_VALUE"""),"Household Items")</f>
        <v>Household Items</v>
      </c>
      <c r="I129" s="33" t="str">
        <f>IFERROR(__xludf.DUMMYFUNCTION("""COMPUTED_VALUE"""),"Subscriptions")</f>
        <v>Subscriptions</v>
      </c>
      <c r="J129" s="33" t="str">
        <f>IFERROR(__xludf.DUMMYFUNCTION("""COMPUTED_VALUE"""),"Transportation")</f>
        <v>Transportation</v>
      </c>
      <c r="K129" s="33" t="str">
        <f>IFERROR(__xludf.DUMMYFUNCTION("""COMPUTED_VALUE"""),"Travel")</f>
        <v>Travel</v>
      </c>
    </row>
    <row r="130">
      <c r="A130" s="33" t="str">
        <f>IFERROR(__xludf.DUMMYFUNCTION("""COMPUTED_VALUE"""),"Clothing")</f>
        <v>Clothing</v>
      </c>
      <c r="B130" s="33" t="str">
        <f>IFERROR(__xludf.DUMMYFUNCTION("""COMPUTED_VALUE"""),"Gifts")</f>
        <v>Gifts</v>
      </c>
      <c r="C130" s="33" t="str">
        <f>IFERROR(__xludf.DUMMYFUNCTION("""COMPUTED_VALUE"""),"Healthcare")</f>
        <v>Healthcare</v>
      </c>
      <c r="D130" s="33" t="str">
        <f>IFERROR(__xludf.DUMMYFUNCTION("""COMPUTED_VALUE"""),"Hobbies")</f>
        <v>Hobbies</v>
      </c>
      <c r="E130" s="33" t="str">
        <f>IFERROR(__xludf.DUMMYFUNCTION("""COMPUTED_VALUE"""),"Organization")</f>
        <v>Organization</v>
      </c>
      <c r="F130" s="33"/>
      <c r="G130" s="33"/>
      <c r="H130" s="33"/>
      <c r="I130" s="33"/>
      <c r="J130" s="33"/>
      <c r="K130" s="33"/>
    </row>
    <row r="131">
      <c r="A131" s="33" t="str">
        <f>IFERROR(__xludf.DUMMYFUNCTION("""COMPUTED_VALUE"""),"Cashback")</f>
        <v>Cashback</v>
      </c>
      <c r="B131" s="33" t="str">
        <f>IFERROR(__xludf.DUMMYFUNCTION("""COMPUTED_VALUE"""),"Investment Returns")</f>
        <v>Investment Returns</v>
      </c>
      <c r="C131" s="33" t="str">
        <f>IFERROR(__xludf.DUMMYFUNCTION("""COMPUTED_VALUE"""),"Paycheck")</f>
        <v>Paycheck</v>
      </c>
      <c r="D131" s="33" t="str">
        <f>IFERROR(__xludf.DUMMYFUNCTION("""COMPUTED_VALUE"""),"Reimbursement")</f>
        <v>Reimbursement</v>
      </c>
      <c r="E131" s="33" t="str">
        <f>IFERROR(__xludf.DUMMYFUNCTION("""COMPUTED_VALUE"""),"Rewards")</f>
        <v>Rewards</v>
      </c>
      <c r="F131" s="33"/>
      <c r="G131" s="33"/>
      <c r="H131" s="33"/>
      <c r="I131" s="33"/>
      <c r="J131" s="33"/>
      <c r="K131" s="33"/>
    </row>
    <row r="132">
      <c r="A132" s="33" t="str">
        <f>IFERROR(__xludf.DUMMYFUNCTION("""COMPUTED_VALUE"""),"Cashback")</f>
        <v>Cashback</v>
      </c>
      <c r="B132" s="33" t="str">
        <f>IFERROR(__xludf.DUMMYFUNCTION("""COMPUTED_VALUE"""),"Investment Returns")</f>
        <v>Investment Returns</v>
      </c>
      <c r="C132" s="33" t="str">
        <f>IFERROR(__xludf.DUMMYFUNCTION("""COMPUTED_VALUE"""),"Paycheck")</f>
        <v>Paycheck</v>
      </c>
      <c r="D132" s="33" t="str">
        <f>IFERROR(__xludf.DUMMYFUNCTION("""COMPUTED_VALUE"""),"Reimbursement")</f>
        <v>Reimbursement</v>
      </c>
      <c r="E132" s="33" t="str">
        <f>IFERROR(__xludf.DUMMYFUNCTION("""COMPUTED_VALUE"""),"Rewards")</f>
        <v>Rewards</v>
      </c>
      <c r="F132" s="33"/>
      <c r="G132" s="33"/>
      <c r="H132" s="33"/>
      <c r="I132" s="33"/>
      <c r="J132" s="33"/>
      <c r="K132" s="33"/>
    </row>
    <row r="133">
      <c r="A133" s="33" t="str">
        <f>IFERROR(__xludf.DUMMYFUNCTION("""COMPUTED_VALUE"""),"FHSA")</f>
        <v>FHSA</v>
      </c>
      <c r="B133" s="33" t="str">
        <f>IFERROR(__xludf.DUMMYFUNCTION("""COMPUTED_VALUE"""),"RRSP")</f>
        <v>RRSP</v>
      </c>
      <c r="C133" s="33" t="str">
        <f>IFERROR(__xludf.DUMMYFUNCTION("""COMPUTED_VALUE"""),"TFSA")</f>
        <v>TFSA</v>
      </c>
      <c r="D133" s="33"/>
      <c r="E133" s="33"/>
      <c r="F133" s="33"/>
      <c r="G133" s="33"/>
      <c r="H133" s="33"/>
      <c r="I133" s="33"/>
      <c r="J133" s="33"/>
      <c r="K133" s="33"/>
    </row>
    <row r="134">
      <c r="A134" s="33" t="str">
        <f>IFERROR(__xludf.DUMMYFUNCTION("""COMPUTED_VALUE"""),"Deposit")</f>
        <v>Deposit</v>
      </c>
      <c r="B134" s="33" t="str">
        <f>IFERROR(__xludf.DUMMYFUNCTION("""COMPUTED_VALUE"""),"Withdrawal")</f>
        <v>Withdrawal</v>
      </c>
      <c r="C134" s="33"/>
      <c r="D134" s="33"/>
      <c r="E134" s="33"/>
      <c r="F134" s="33"/>
      <c r="G134" s="33"/>
      <c r="H134" s="33"/>
      <c r="I134" s="33"/>
      <c r="J134" s="33"/>
      <c r="K134" s="33"/>
    </row>
    <row r="135">
      <c r="A135" s="33" t="str">
        <f>IFERROR(__xludf.DUMMYFUNCTION("""COMPUTED_VALUE"""),"FHSA")</f>
        <v>FHSA</v>
      </c>
      <c r="B135" s="33" t="str">
        <f>IFERROR(__xludf.DUMMYFUNCTION("""COMPUTED_VALUE"""),"RRSP")</f>
        <v>RRSP</v>
      </c>
      <c r="C135" s="33" t="str">
        <f>IFERROR(__xludf.DUMMYFUNCTION("""COMPUTED_VALUE"""),"TFSA")</f>
        <v>TFSA</v>
      </c>
      <c r="D135" s="33"/>
      <c r="E135" s="33"/>
      <c r="F135" s="33"/>
      <c r="G135" s="33"/>
      <c r="H135" s="33"/>
      <c r="I135" s="33"/>
      <c r="J135" s="33"/>
      <c r="K135" s="33"/>
    </row>
    <row r="136">
      <c r="A136" s="33" t="str">
        <f>IFERROR(__xludf.DUMMYFUNCTION("""COMPUTED_VALUE"""),"Deposit")</f>
        <v>Deposit</v>
      </c>
      <c r="B136" s="33" t="str">
        <f>IFERROR(__xludf.DUMMYFUNCTION("""COMPUTED_VALUE"""),"Withdrawal")</f>
        <v>Withdrawal</v>
      </c>
      <c r="C136" s="33"/>
      <c r="D136" s="33"/>
      <c r="E136" s="33"/>
      <c r="F136" s="33"/>
      <c r="G136" s="33"/>
      <c r="H136" s="33"/>
      <c r="I136" s="33"/>
      <c r="J136" s="33"/>
      <c r="K136" s="33"/>
    </row>
    <row r="137">
      <c r="A137" s="33" t="str">
        <f>IFERROR(__xludf.DUMMYFUNCTION("""COMPUTED_VALUE"""),"Car Fund")</f>
        <v>Car Fund</v>
      </c>
      <c r="B137" s="33" t="str">
        <f>IFERROR(__xludf.DUMMYFUNCTION("""COMPUTED_VALUE"""),"Emergency Fund")</f>
        <v>Emergency Fund</v>
      </c>
      <c r="C137" s="33" t="str">
        <f>IFERROR(__xludf.DUMMYFUNCTION("""COMPUTED_VALUE"""),"Family Fund")</f>
        <v>Family Fund</v>
      </c>
      <c r="D137" s="33" t="str">
        <f>IFERROR(__xludf.DUMMYFUNCTION("""COMPUTED_VALUE"""),"Kenji Fund")</f>
        <v>Kenji Fund</v>
      </c>
      <c r="E137" s="33" t="str">
        <f>IFERROR(__xludf.DUMMYFUNCTION("""COMPUTED_VALUE"""),"Mei Fund")</f>
        <v>Mei Fund</v>
      </c>
      <c r="F137" s="33" t="str">
        <f>IFERROR(__xludf.DUMMYFUNCTION("""COMPUTED_VALUE"""),"Pet Fund")</f>
        <v>Pet Fund</v>
      </c>
      <c r="G137" s="33" t="str">
        <f>IFERROR(__xludf.DUMMYFUNCTION("""COMPUTED_VALUE"""),"Vacation Fund")</f>
        <v>Vacation Fund</v>
      </c>
      <c r="H137" s="33"/>
      <c r="I137" s="33"/>
      <c r="J137" s="33"/>
      <c r="K137" s="33"/>
    </row>
    <row r="138">
      <c r="A138" s="33" t="str">
        <f>IFERROR(__xludf.DUMMYFUNCTION("""COMPUTED_VALUE"""),"Deposit")</f>
        <v>Deposit</v>
      </c>
      <c r="B138" s="33" t="str">
        <f>IFERROR(__xludf.DUMMYFUNCTION("""COMPUTED_VALUE"""),"Withdrawal")</f>
        <v>Withdrawal</v>
      </c>
      <c r="C138" s="33"/>
      <c r="D138" s="33"/>
      <c r="E138" s="33"/>
      <c r="F138" s="33"/>
      <c r="G138" s="33"/>
      <c r="H138" s="33"/>
      <c r="I138" s="33"/>
      <c r="J138" s="33"/>
      <c r="K138" s="33"/>
    </row>
    <row r="139">
      <c r="A139" s="33" t="str">
        <f>IFERROR(__xludf.DUMMYFUNCTION("""COMPUTED_VALUE"""),"Clothing")</f>
        <v>Clothing</v>
      </c>
      <c r="B139" s="33" t="str">
        <f>IFERROR(__xludf.DUMMYFUNCTION("""COMPUTED_VALUE"""),"Gaming")</f>
        <v>Gaming</v>
      </c>
      <c r="C139" s="33" t="str">
        <f>IFERROR(__xludf.DUMMYFUNCTION("""COMPUTED_VALUE"""),"Gifts")</f>
        <v>Gifts</v>
      </c>
      <c r="D139" s="33" t="str">
        <f>IFERROR(__xludf.DUMMYFUNCTION("""COMPUTED_VALUE"""),"Healthcare")</f>
        <v>Healthcare</v>
      </c>
      <c r="E139" s="33" t="str">
        <f>IFERROR(__xludf.DUMMYFUNCTION("""COMPUTED_VALUE"""),"Hobbies")</f>
        <v>Hobbies</v>
      </c>
      <c r="F139" s="33" t="str">
        <f>IFERROR(__xludf.DUMMYFUNCTION("""COMPUTED_VALUE"""),"Subscriptions")</f>
        <v>Subscriptions</v>
      </c>
      <c r="G139" s="33"/>
      <c r="H139" s="33"/>
      <c r="I139" s="33"/>
      <c r="J139" s="33"/>
      <c r="K139" s="33"/>
    </row>
    <row r="140">
      <c r="A140" s="33" t="str">
        <f>IFERROR(__xludf.DUMMYFUNCTION("""COMPUTED_VALUE"""),"Clothing")</f>
        <v>Clothing</v>
      </c>
      <c r="B140" s="33" t="str">
        <f>IFERROR(__xludf.DUMMYFUNCTION("""COMPUTED_VALUE"""),"Gifts")</f>
        <v>Gifts</v>
      </c>
      <c r="C140" s="33" t="str">
        <f>IFERROR(__xludf.DUMMYFUNCTION("""COMPUTED_VALUE"""),"Healthcare")</f>
        <v>Healthcare</v>
      </c>
      <c r="D140" s="33" t="str">
        <f>IFERROR(__xludf.DUMMYFUNCTION("""COMPUTED_VALUE"""),"Hobbies")</f>
        <v>Hobbies</v>
      </c>
      <c r="E140" s="33" t="str">
        <f>IFERROR(__xludf.DUMMYFUNCTION("""COMPUTED_VALUE"""),"Organization")</f>
        <v>Organization</v>
      </c>
      <c r="F140" s="33"/>
      <c r="G140" s="33"/>
      <c r="H140" s="33"/>
      <c r="I140" s="33"/>
      <c r="J140" s="33"/>
      <c r="K140" s="33"/>
    </row>
    <row r="141">
      <c r="A141" s="33" t="str">
        <f>IFERROR(__xludf.DUMMYFUNCTION("""COMPUTED_VALUE"""),"Dining Out")</f>
        <v>Dining Out</v>
      </c>
      <c r="B141" s="33" t="str">
        <f>IFERROR(__xludf.DUMMYFUNCTION("""COMPUTED_VALUE"""),"Entertainment")</f>
        <v>Entertainment</v>
      </c>
      <c r="C141" s="33" t="str">
        <f>IFERROR(__xludf.DUMMYFUNCTION("""COMPUTED_VALUE"""),"Gaming")</f>
        <v>Gaming</v>
      </c>
      <c r="D141" s="33" t="str">
        <f>IFERROR(__xludf.DUMMYFUNCTION("""COMPUTED_VALUE"""),"Gifts")</f>
        <v>Gifts</v>
      </c>
      <c r="E141" s="33" t="str">
        <f>IFERROR(__xludf.DUMMYFUNCTION("""COMPUTED_VALUE"""),"Groceries")</f>
        <v>Groceries</v>
      </c>
      <c r="F141" s="33" t="str">
        <f>IFERROR(__xludf.DUMMYFUNCTION("""COMPUTED_VALUE"""),"Healthcare")</f>
        <v>Healthcare</v>
      </c>
      <c r="G141" s="33" t="str">
        <f>IFERROR(__xludf.DUMMYFUNCTION("""COMPUTED_VALUE"""),"Hobbies")</f>
        <v>Hobbies</v>
      </c>
      <c r="H141" s="33" t="str">
        <f>IFERROR(__xludf.DUMMYFUNCTION("""COMPUTED_VALUE"""),"Household Items")</f>
        <v>Household Items</v>
      </c>
      <c r="I141" s="33" t="str">
        <f>IFERROR(__xludf.DUMMYFUNCTION("""COMPUTED_VALUE"""),"Subscriptions")</f>
        <v>Subscriptions</v>
      </c>
      <c r="J141" s="33" t="str">
        <f>IFERROR(__xludf.DUMMYFUNCTION("""COMPUTED_VALUE"""),"Transportation")</f>
        <v>Transportation</v>
      </c>
      <c r="K141" s="33" t="str">
        <f>IFERROR(__xludf.DUMMYFUNCTION("""COMPUTED_VALUE"""),"Travel")</f>
        <v>Travel</v>
      </c>
    </row>
    <row r="142">
      <c r="A142" s="33" t="str">
        <f>IFERROR(__xludf.DUMMYFUNCTION("""COMPUTED_VALUE"""),"Dining Out")</f>
        <v>Dining Out</v>
      </c>
      <c r="B142" s="33" t="str">
        <f>IFERROR(__xludf.DUMMYFUNCTION("""COMPUTED_VALUE"""),"Entertainment")</f>
        <v>Entertainment</v>
      </c>
      <c r="C142" s="33" t="str">
        <f>IFERROR(__xludf.DUMMYFUNCTION("""COMPUTED_VALUE"""),"Gaming")</f>
        <v>Gaming</v>
      </c>
      <c r="D142" s="33" t="str">
        <f>IFERROR(__xludf.DUMMYFUNCTION("""COMPUTED_VALUE"""),"Gifts")</f>
        <v>Gifts</v>
      </c>
      <c r="E142" s="33" t="str">
        <f>IFERROR(__xludf.DUMMYFUNCTION("""COMPUTED_VALUE"""),"Groceries")</f>
        <v>Groceries</v>
      </c>
      <c r="F142" s="33" t="str">
        <f>IFERROR(__xludf.DUMMYFUNCTION("""COMPUTED_VALUE"""),"Healthcare")</f>
        <v>Healthcare</v>
      </c>
      <c r="G142" s="33" t="str">
        <f>IFERROR(__xludf.DUMMYFUNCTION("""COMPUTED_VALUE"""),"Hobbies")</f>
        <v>Hobbies</v>
      </c>
      <c r="H142" s="33" t="str">
        <f>IFERROR(__xludf.DUMMYFUNCTION("""COMPUTED_VALUE"""),"Household Items")</f>
        <v>Household Items</v>
      </c>
      <c r="I142" s="33" t="str">
        <f>IFERROR(__xludf.DUMMYFUNCTION("""COMPUTED_VALUE"""),"Subscriptions")</f>
        <v>Subscriptions</v>
      </c>
      <c r="J142" s="33" t="str">
        <f>IFERROR(__xludf.DUMMYFUNCTION("""COMPUTED_VALUE"""),"Transportation")</f>
        <v>Transportation</v>
      </c>
      <c r="K142" s="33" t="str">
        <f>IFERROR(__xludf.DUMMYFUNCTION("""COMPUTED_VALUE"""),"Travel")</f>
        <v>Travel</v>
      </c>
    </row>
    <row r="143">
      <c r="A143" s="33" t="str">
        <f>IFERROR(__xludf.DUMMYFUNCTION("""COMPUTED_VALUE"""),"Boarding")</f>
        <v>Boarding</v>
      </c>
      <c r="B143" s="33" t="str">
        <f>IFERROR(__xludf.DUMMYFUNCTION("""COMPUTED_VALUE"""),"Clothing")</f>
        <v>Clothing</v>
      </c>
      <c r="C143" s="33" t="str">
        <f>IFERROR(__xludf.DUMMYFUNCTION("""COMPUTED_VALUE"""),"Daycare")</f>
        <v>Daycare</v>
      </c>
      <c r="D143" s="33" t="str">
        <f>IFERROR(__xludf.DUMMYFUNCTION("""COMPUTED_VALUE"""),"Grooming")</f>
        <v>Grooming</v>
      </c>
      <c r="E143" s="33" t="str">
        <f>IFERROR(__xludf.DUMMYFUNCTION("""COMPUTED_VALUE"""),"Toys")</f>
        <v>Toys</v>
      </c>
      <c r="F143" s="33" t="str">
        <f>IFERROR(__xludf.DUMMYFUNCTION("""COMPUTED_VALUE"""),"Treats")</f>
        <v>Treats</v>
      </c>
      <c r="G143" s="33"/>
      <c r="H143" s="33"/>
      <c r="I143" s="33"/>
      <c r="J143" s="33"/>
      <c r="K143" s="33"/>
    </row>
    <row r="144">
      <c r="A144" s="33" t="str">
        <f>IFERROR(__xludf.DUMMYFUNCTION("""COMPUTED_VALUE"""),"Boarding")</f>
        <v>Boarding</v>
      </c>
      <c r="B144" s="33" t="str">
        <f>IFERROR(__xludf.DUMMYFUNCTION("""COMPUTED_VALUE"""),"Clothing")</f>
        <v>Clothing</v>
      </c>
      <c r="C144" s="33" t="str">
        <f>IFERROR(__xludf.DUMMYFUNCTION("""COMPUTED_VALUE"""),"Daycare")</f>
        <v>Daycare</v>
      </c>
      <c r="D144" s="33" t="str">
        <f>IFERROR(__xludf.DUMMYFUNCTION("""COMPUTED_VALUE"""),"Grooming")</f>
        <v>Grooming</v>
      </c>
      <c r="E144" s="33" t="str">
        <f>IFERROR(__xludf.DUMMYFUNCTION("""COMPUTED_VALUE"""),"Toys")</f>
        <v>Toys</v>
      </c>
      <c r="F144" s="33" t="str">
        <f>IFERROR(__xludf.DUMMYFUNCTION("""COMPUTED_VALUE"""),"Treats")</f>
        <v>Treats</v>
      </c>
      <c r="G144" s="33"/>
      <c r="H144" s="33"/>
      <c r="I144" s="33"/>
      <c r="J144" s="33"/>
      <c r="K144" s="33"/>
    </row>
    <row r="145">
      <c r="A145" s="33" t="str">
        <f>IFERROR(__xludf.DUMMYFUNCTION("""COMPUTED_VALUE"""),"Dining Out")</f>
        <v>Dining Out</v>
      </c>
      <c r="B145" s="33" t="str">
        <f>IFERROR(__xludf.DUMMYFUNCTION("""COMPUTED_VALUE"""),"Entertainment")</f>
        <v>Entertainment</v>
      </c>
      <c r="C145" s="33" t="str">
        <f>IFERROR(__xludf.DUMMYFUNCTION("""COMPUTED_VALUE"""),"Gaming")</f>
        <v>Gaming</v>
      </c>
      <c r="D145" s="33" t="str">
        <f>IFERROR(__xludf.DUMMYFUNCTION("""COMPUTED_VALUE"""),"Gifts")</f>
        <v>Gifts</v>
      </c>
      <c r="E145" s="33" t="str">
        <f>IFERROR(__xludf.DUMMYFUNCTION("""COMPUTED_VALUE"""),"Groceries")</f>
        <v>Groceries</v>
      </c>
      <c r="F145" s="33" t="str">
        <f>IFERROR(__xludf.DUMMYFUNCTION("""COMPUTED_VALUE"""),"Healthcare")</f>
        <v>Healthcare</v>
      </c>
      <c r="G145" s="33" t="str">
        <f>IFERROR(__xludf.DUMMYFUNCTION("""COMPUTED_VALUE"""),"Hobbies")</f>
        <v>Hobbies</v>
      </c>
      <c r="H145" s="33" t="str">
        <f>IFERROR(__xludf.DUMMYFUNCTION("""COMPUTED_VALUE"""),"Household Items")</f>
        <v>Household Items</v>
      </c>
      <c r="I145" s="33" t="str">
        <f>IFERROR(__xludf.DUMMYFUNCTION("""COMPUTED_VALUE"""),"Subscriptions")</f>
        <v>Subscriptions</v>
      </c>
      <c r="J145" s="33" t="str">
        <f>IFERROR(__xludf.DUMMYFUNCTION("""COMPUTED_VALUE"""),"Transportation")</f>
        <v>Transportation</v>
      </c>
      <c r="K145" s="33" t="str">
        <f>IFERROR(__xludf.DUMMYFUNCTION("""COMPUTED_VALUE"""),"Travel")</f>
        <v>Travel</v>
      </c>
    </row>
    <row r="146">
      <c r="A146" s="33" t="str">
        <f>IFERROR(__xludf.DUMMYFUNCTION("""COMPUTED_VALUE"""),"Debt")</f>
        <v>Debt</v>
      </c>
      <c r="B146" s="33" t="str">
        <f>IFERROR(__xludf.DUMMYFUNCTION("""COMPUTED_VALUE"""),"Groceries")</f>
        <v>Groceries</v>
      </c>
      <c r="C146" s="33" t="str">
        <f>IFERROR(__xludf.DUMMYFUNCTION("""COMPUTED_VALUE"""),"Healthcare")</f>
        <v>Healthcare</v>
      </c>
      <c r="D146" s="33" t="str">
        <f>IFERROR(__xludf.DUMMYFUNCTION("""COMPUTED_VALUE"""),"Household Items")</f>
        <v>Household Items</v>
      </c>
      <c r="E146" s="33" t="str">
        <f>IFERROR(__xludf.DUMMYFUNCTION("""COMPUTED_VALUE"""),"Housing")</f>
        <v>Housing</v>
      </c>
      <c r="F146" s="33" t="str">
        <f>IFERROR(__xludf.DUMMYFUNCTION("""COMPUTED_VALUE"""),"Miscellaneous")</f>
        <v>Miscellaneous</v>
      </c>
      <c r="G146" s="33" t="str">
        <f>IFERROR(__xludf.DUMMYFUNCTION("""COMPUTED_VALUE"""),"Pet")</f>
        <v>Pet</v>
      </c>
      <c r="H146" s="33" t="str">
        <f>IFERROR(__xludf.DUMMYFUNCTION("""COMPUTED_VALUE"""),"Transportation")</f>
        <v>Transportation</v>
      </c>
      <c r="I146" s="33"/>
      <c r="J146" s="33"/>
      <c r="K146" s="33"/>
    </row>
    <row r="147">
      <c r="A147" s="33" t="str">
        <f>IFERROR(__xludf.DUMMYFUNCTION("""COMPUTED_VALUE"""),"Boarding")</f>
        <v>Boarding</v>
      </c>
      <c r="B147" s="33" t="str">
        <f>IFERROR(__xludf.DUMMYFUNCTION("""COMPUTED_VALUE"""),"Clothing")</f>
        <v>Clothing</v>
      </c>
      <c r="C147" s="33" t="str">
        <f>IFERROR(__xludf.DUMMYFUNCTION("""COMPUTED_VALUE"""),"Daycare")</f>
        <v>Daycare</v>
      </c>
      <c r="D147" s="33" t="str">
        <f>IFERROR(__xludf.DUMMYFUNCTION("""COMPUTED_VALUE"""),"Grooming")</f>
        <v>Grooming</v>
      </c>
      <c r="E147" s="33" t="str">
        <f>IFERROR(__xludf.DUMMYFUNCTION("""COMPUTED_VALUE"""),"Toys")</f>
        <v>Toys</v>
      </c>
      <c r="F147" s="33" t="str">
        <f>IFERROR(__xludf.DUMMYFUNCTION("""COMPUTED_VALUE"""),"Treats")</f>
        <v>Treats</v>
      </c>
      <c r="G147" s="33"/>
      <c r="H147" s="33"/>
      <c r="I147" s="33"/>
      <c r="J147" s="33"/>
      <c r="K147" s="33"/>
    </row>
    <row r="148">
      <c r="A148" s="33" t="str">
        <f>IFERROR(__xludf.DUMMYFUNCTION("""COMPUTED_VALUE"""),"Debt")</f>
        <v>Debt</v>
      </c>
      <c r="B148" s="33" t="str">
        <f>IFERROR(__xludf.DUMMYFUNCTION("""COMPUTED_VALUE"""),"Groceries")</f>
        <v>Groceries</v>
      </c>
      <c r="C148" s="33" t="str">
        <f>IFERROR(__xludf.DUMMYFUNCTION("""COMPUTED_VALUE"""),"Healthcare")</f>
        <v>Healthcare</v>
      </c>
      <c r="D148" s="33" t="str">
        <f>IFERROR(__xludf.DUMMYFUNCTION("""COMPUTED_VALUE"""),"Household Items")</f>
        <v>Household Items</v>
      </c>
      <c r="E148" s="33" t="str">
        <f>IFERROR(__xludf.DUMMYFUNCTION("""COMPUTED_VALUE"""),"Housing")</f>
        <v>Housing</v>
      </c>
      <c r="F148" s="33" t="str">
        <f>IFERROR(__xludf.DUMMYFUNCTION("""COMPUTED_VALUE"""),"Miscellaneous")</f>
        <v>Miscellaneous</v>
      </c>
      <c r="G148" s="33" t="str">
        <f>IFERROR(__xludf.DUMMYFUNCTION("""COMPUTED_VALUE"""),"Pet")</f>
        <v>Pet</v>
      </c>
      <c r="H148" s="33" t="str">
        <f>IFERROR(__xludf.DUMMYFUNCTION("""COMPUTED_VALUE"""),"Transportation")</f>
        <v>Transportation</v>
      </c>
      <c r="I148" s="33"/>
      <c r="J148" s="33"/>
      <c r="K148" s="33"/>
    </row>
    <row r="149">
      <c r="A149" s="33" t="str">
        <f>IFERROR(__xludf.DUMMYFUNCTION("""COMPUTED_VALUE"""),"Debt")</f>
        <v>Debt</v>
      </c>
      <c r="B149" s="33" t="str">
        <f>IFERROR(__xludf.DUMMYFUNCTION("""COMPUTED_VALUE"""),"Groceries")</f>
        <v>Groceries</v>
      </c>
      <c r="C149" s="33" t="str">
        <f>IFERROR(__xludf.DUMMYFUNCTION("""COMPUTED_VALUE"""),"Healthcare")</f>
        <v>Healthcare</v>
      </c>
      <c r="D149" s="33" t="str">
        <f>IFERROR(__xludf.DUMMYFUNCTION("""COMPUTED_VALUE"""),"Household Items")</f>
        <v>Household Items</v>
      </c>
      <c r="E149" s="33" t="str">
        <f>IFERROR(__xludf.DUMMYFUNCTION("""COMPUTED_VALUE"""),"Housing")</f>
        <v>Housing</v>
      </c>
      <c r="F149" s="33" t="str">
        <f>IFERROR(__xludf.DUMMYFUNCTION("""COMPUTED_VALUE"""),"Miscellaneous")</f>
        <v>Miscellaneous</v>
      </c>
      <c r="G149" s="33" t="str">
        <f>IFERROR(__xludf.DUMMYFUNCTION("""COMPUTED_VALUE"""),"Pet")</f>
        <v>Pet</v>
      </c>
      <c r="H149" s="33" t="str">
        <f>IFERROR(__xludf.DUMMYFUNCTION("""COMPUTED_VALUE"""),"Transportation")</f>
        <v>Transportation</v>
      </c>
      <c r="I149" s="33"/>
      <c r="J149" s="33"/>
      <c r="K149" s="33"/>
    </row>
    <row r="150">
      <c r="A150" s="33" t="str">
        <f>IFERROR(__xludf.DUMMYFUNCTION("""COMPUTED_VALUE"""),"Debt")</f>
        <v>Debt</v>
      </c>
      <c r="B150" s="33" t="str">
        <f>IFERROR(__xludf.DUMMYFUNCTION("""COMPUTED_VALUE"""),"Groceries")</f>
        <v>Groceries</v>
      </c>
      <c r="C150" s="33" t="str">
        <f>IFERROR(__xludf.DUMMYFUNCTION("""COMPUTED_VALUE"""),"Healthcare")</f>
        <v>Healthcare</v>
      </c>
      <c r="D150" s="33" t="str">
        <f>IFERROR(__xludf.DUMMYFUNCTION("""COMPUTED_VALUE"""),"Household Items")</f>
        <v>Household Items</v>
      </c>
      <c r="E150" s="33" t="str">
        <f>IFERROR(__xludf.DUMMYFUNCTION("""COMPUTED_VALUE"""),"Housing")</f>
        <v>Housing</v>
      </c>
      <c r="F150" s="33" t="str">
        <f>IFERROR(__xludf.DUMMYFUNCTION("""COMPUTED_VALUE"""),"Miscellaneous")</f>
        <v>Miscellaneous</v>
      </c>
      <c r="G150" s="33" t="str">
        <f>IFERROR(__xludf.DUMMYFUNCTION("""COMPUTED_VALUE"""),"Pet")</f>
        <v>Pet</v>
      </c>
      <c r="H150" s="33" t="str">
        <f>IFERROR(__xludf.DUMMYFUNCTION("""COMPUTED_VALUE"""),"Transportation")</f>
        <v>Transportation</v>
      </c>
      <c r="I150" s="33"/>
      <c r="J150" s="33"/>
      <c r="K150" s="33"/>
    </row>
    <row r="151">
      <c r="A151" s="33" t="str">
        <f>IFERROR(__xludf.DUMMYFUNCTION("""COMPUTED_VALUE"""),"Debt")</f>
        <v>Debt</v>
      </c>
      <c r="B151" s="33" t="str">
        <f>IFERROR(__xludf.DUMMYFUNCTION("""COMPUTED_VALUE"""),"Groceries")</f>
        <v>Groceries</v>
      </c>
      <c r="C151" s="33" t="str">
        <f>IFERROR(__xludf.DUMMYFUNCTION("""COMPUTED_VALUE"""),"Healthcare")</f>
        <v>Healthcare</v>
      </c>
      <c r="D151" s="33" t="str">
        <f>IFERROR(__xludf.DUMMYFUNCTION("""COMPUTED_VALUE"""),"Household Items")</f>
        <v>Household Items</v>
      </c>
      <c r="E151" s="33" t="str">
        <f>IFERROR(__xludf.DUMMYFUNCTION("""COMPUTED_VALUE"""),"Housing")</f>
        <v>Housing</v>
      </c>
      <c r="F151" s="33" t="str">
        <f>IFERROR(__xludf.DUMMYFUNCTION("""COMPUTED_VALUE"""),"Miscellaneous")</f>
        <v>Miscellaneous</v>
      </c>
      <c r="G151" s="33" t="str">
        <f>IFERROR(__xludf.DUMMYFUNCTION("""COMPUTED_VALUE"""),"Pet")</f>
        <v>Pet</v>
      </c>
      <c r="H151" s="33" t="str">
        <f>IFERROR(__xludf.DUMMYFUNCTION("""COMPUTED_VALUE"""),"Transportation")</f>
        <v>Transportation</v>
      </c>
      <c r="I151" s="33"/>
      <c r="J151" s="33"/>
      <c r="K151" s="33"/>
    </row>
    <row r="152">
      <c r="A152" s="33" t="str">
        <f>IFERROR(__xludf.DUMMYFUNCTION("""COMPUTED_VALUE"""),"Debt")</f>
        <v>Debt</v>
      </c>
      <c r="B152" s="33" t="str">
        <f>IFERROR(__xludf.DUMMYFUNCTION("""COMPUTED_VALUE"""),"Groceries")</f>
        <v>Groceries</v>
      </c>
      <c r="C152" s="33" t="str">
        <f>IFERROR(__xludf.DUMMYFUNCTION("""COMPUTED_VALUE"""),"Healthcare")</f>
        <v>Healthcare</v>
      </c>
      <c r="D152" s="33" t="str">
        <f>IFERROR(__xludf.DUMMYFUNCTION("""COMPUTED_VALUE"""),"Household Items")</f>
        <v>Household Items</v>
      </c>
      <c r="E152" s="33" t="str">
        <f>IFERROR(__xludf.DUMMYFUNCTION("""COMPUTED_VALUE"""),"Housing")</f>
        <v>Housing</v>
      </c>
      <c r="F152" s="33" t="str">
        <f>IFERROR(__xludf.DUMMYFUNCTION("""COMPUTED_VALUE"""),"Miscellaneous")</f>
        <v>Miscellaneous</v>
      </c>
      <c r="G152" s="33" t="str">
        <f>IFERROR(__xludf.DUMMYFUNCTION("""COMPUTED_VALUE"""),"Pet")</f>
        <v>Pet</v>
      </c>
      <c r="H152" s="33" t="str">
        <f>IFERROR(__xludf.DUMMYFUNCTION("""COMPUTED_VALUE"""),"Transportation")</f>
        <v>Transportation</v>
      </c>
      <c r="I152" s="33"/>
      <c r="J152" s="33"/>
      <c r="K152" s="33"/>
    </row>
    <row r="153">
      <c r="A153" s="33" t="str">
        <f>IFERROR(__xludf.DUMMYFUNCTION("""COMPUTED_VALUE"""),"Debt")</f>
        <v>Debt</v>
      </c>
      <c r="B153" s="33" t="str">
        <f>IFERROR(__xludf.DUMMYFUNCTION("""COMPUTED_VALUE"""),"Groceries")</f>
        <v>Groceries</v>
      </c>
      <c r="C153" s="33" t="str">
        <f>IFERROR(__xludf.DUMMYFUNCTION("""COMPUTED_VALUE"""),"Healthcare")</f>
        <v>Healthcare</v>
      </c>
      <c r="D153" s="33" t="str">
        <f>IFERROR(__xludf.DUMMYFUNCTION("""COMPUTED_VALUE"""),"Household Items")</f>
        <v>Household Items</v>
      </c>
      <c r="E153" s="33" t="str">
        <f>IFERROR(__xludf.DUMMYFUNCTION("""COMPUTED_VALUE"""),"Housing")</f>
        <v>Housing</v>
      </c>
      <c r="F153" s="33" t="str">
        <f>IFERROR(__xludf.DUMMYFUNCTION("""COMPUTED_VALUE"""),"Miscellaneous")</f>
        <v>Miscellaneous</v>
      </c>
      <c r="G153" s="33" t="str">
        <f>IFERROR(__xludf.DUMMYFUNCTION("""COMPUTED_VALUE"""),"Pet")</f>
        <v>Pet</v>
      </c>
      <c r="H153" s="33" t="str">
        <f>IFERROR(__xludf.DUMMYFUNCTION("""COMPUTED_VALUE"""),"Transportation")</f>
        <v>Transportation</v>
      </c>
      <c r="I153" s="33"/>
      <c r="J153" s="33"/>
      <c r="K153" s="33"/>
    </row>
    <row r="154">
      <c r="A154" s="33" t="str">
        <f>IFERROR(__xludf.DUMMYFUNCTION("""COMPUTED_VALUE"""),"Debt")</f>
        <v>Debt</v>
      </c>
      <c r="B154" s="33" t="str">
        <f>IFERROR(__xludf.DUMMYFUNCTION("""COMPUTED_VALUE"""),"Groceries")</f>
        <v>Groceries</v>
      </c>
      <c r="C154" s="33" t="str">
        <f>IFERROR(__xludf.DUMMYFUNCTION("""COMPUTED_VALUE"""),"Healthcare")</f>
        <v>Healthcare</v>
      </c>
      <c r="D154" s="33" t="str">
        <f>IFERROR(__xludf.DUMMYFUNCTION("""COMPUTED_VALUE"""),"Household Items")</f>
        <v>Household Items</v>
      </c>
      <c r="E154" s="33" t="str">
        <f>IFERROR(__xludf.DUMMYFUNCTION("""COMPUTED_VALUE"""),"Housing")</f>
        <v>Housing</v>
      </c>
      <c r="F154" s="33" t="str">
        <f>IFERROR(__xludf.DUMMYFUNCTION("""COMPUTED_VALUE"""),"Miscellaneous")</f>
        <v>Miscellaneous</v>
      </c>
      <c r="G154" s="33" t="str">
        <f>IFERROR(__xludf.DUMMYFUNCTION("""COMPUTED_VALUE"""),"Pet")</f>
        <v>Pet</v>
      </c>
      <c r="H154" s="33" t="str">
        <f>IFERROR(__xludf.DUMMYFUNCTION("""COMPUTED_VALUE"""),"Transportation")</f>
        <v>Transportation</v>
      </c>
      <c r="I154" s="33"/>
      <c r="J154" s="33"/>
      <c r="K154" s="33"/>
    </row>
    <row r="155">
      <c r="A155" s="33" t="str">
        <f>IFERROR(__xludf.DUMMYFUNCTION("""COMPUTED_VALUE"""),"Debt")</f>
        <v>Debt</v>
      </c>
      <c r="B155" s="33" t="str">
        <f>IFERROR(__xludf.DUMMYFUNCTION("""COMPUTED_VALUE"""),"Groceries")</f>
        <v>Groceries</v>
      </c>
      <c r="C155" s="33" t="str">
        <f>IFERROR(__xludf.DUMMYFUNCTION("""COMPUTED_VALUE"""),"Healthcare")</f>
        <v>Healthcare</v>
      </c>
      <c r="D155" s="33" t="str">
        <f>IFERROR(__xludf.DUMMYFUNCTION("""COMPUTED_VALUE"""),"Household Items")</f>
        <v>Household Items</v>
      </c>
      <c r="E155" s="33" t="str">
        <f>IFERROR(__xludf.DUMMYFUNCTION("""COMPUTED_VALUE"""),"Housing")</f>
        <v>Housing</v>
      </c>
      <c r="F155" s="33" t="str">
        <f>IFERROR(__xludf.DUMMYFUNCTION("""COMPUTED_VALUE"""),"Miscellaneous")</f>
        <v>Miscellaneous</v>
      </c>
      <c r="G155" s="33" t="str">
        <f>IFERROR(__xludf.DUMMYFUNCTION("""COMPUTED_VALUE"""),"Pet")</f>
        <v>Pet</v>
      </c>
      <c r="H155" s="33" t="str">
        <f>IFERROR(__xludf.DUMMYFUNCTION("""COMPUTED_VALUE"""),"Transportation")</f>
        <v>Transportation</v>
      </c>
      <c r="I155" s="33"/>
      <c r="J155" s="33"/>
      <c r="K155" s="33"/>
    </row>
    <row r="156">
      <c r="A156" s="33" t="str">
        <f>IFERROR(__xludf.DUMMYFUNCTION("""COMPUTED_VALUE"""),"Debt")</f>
        <v>Debt</v>
      </c>
      <c r="B156" s="33" t="str">
        <f>IFERROR(__xludf.DUMMYFUNCTION("""COMPUTED_VALUE"""),"Groceries")</f>
        <v>Groceries</v>
      </c>
      <c r="C156" s="33" t="str">
        <f>IFERROR(__xludf.DUMMYFUNCTION("""COMPUTED_VALUE"""),"Healthcare")</f>
        <v>Healthcare</v>
      </c>
      <c r="D156" s="33" t="str">
        <f>IFERROR(__xludf.DUMMYFUNCTION("""COMPUTED_VALUE"""),"Household Items")</f>
        <v>Household Items</v>
      </c>
      <c r="E156" s="33" t="str">
        <f>IFERROR(__xludf.DUMMYFUNCTION("""COMPUTED_VALUE"""),"Housing")</f>
        <v>Housing</v>
      </c>
      <c r="F156" s="33" t="str">
        <f>IFERROR(__xludf.DUMMYFUNCTION("""COMPUTED_VALUE"""),"Miscellaneous")</f>
        <v>Miscellaneous</v>
      </c>
      <c r="G156" s="33" t="str">
        <f>IFERROR(__xludf.DUMMYFUNCTION("""COMPUTED_VALUE"""),"Pet")</f>
        <v>Pet</v>
      </c>
      <c r="H156" s="33" t="str">
        <f>IFERROR(__xludf.DUMMYFUNCTION("""COMPUTED_VALUE"""),"Transportation")</f>
        <v>Transportation</v>
      </c>
      <c r="I156" s="33"/>
      <c r="J156" s="33"/>
      <c r="K156" s="33"/>
    </row>
    <row r="157">
      <c r="A157" s="33" t="str">
        <f>IFERROR(__xludf.DUMMYFUNCTION("""COMPUTED_VALUE"""),"Debt")</f>
        <v>Debt</v>
      </c>
      <c r="B157" s="33" t="str">
        <f>IFERROR(__xludf.DUMMYFUNCTION("""COMPUTED_VALUE"""),"Groceries")</f>
        <v>Groceries</v>
      </c>
      <c r="C157" s="33" t="str">
        <f>IFERROR(__xludf.DUMMYFUNCTION("""COMPUTED_VALUE"""),"Healthcare")</f>
        <v>Healthcare</v>
      </c>
      <c r="D157" s="33" t="str">
        <f>IFERROR(__xludf.DUMMYFUNCTION("""COMPUTED_VALUE"""),"Household Items")</f>
        <v>Household Items</v>
      </c>
      <c r="E157" s="33" t="str">
        <f>IFERROR(__xludf.DUMMYFUNCTION("""COMPUTED_VALUE"""),"Housing")</f>
        <v>Housing</v>
      </c>
      <c r="F157" s="33" t="str">
        <f>IFERROR(__xludf.DUMMYFUNCTION("""COMPUTED_VALUE"""),"Miscellaneous")</f>
        <v>Miscellaneous</v>
      </c>
      <c r="G157" s="33" t="str">
        <f>IFERROR(__xludf.DUMMYFUNCTION("""COMPUTED_VALUE"""),"Pet")</f>
        <v>Pet</v>
      </c>
      <c r="H157" s="33" t="str">
        <f>IFERROR(__xludf.DUMMYFUNCTION("""COMPUTED_VALUE"""),"Transportation")</f>
        <v>Transportation</v>
      </c>
      <c r="I157" s="33"/>
      <c r="J157" s="33"/>
      <c r="K157" s="33"/>
    </row>
    <row r="158">
      <c r="A158" s="33" t="str">
        <f>IFERROR(__xludf.DUMMYFUNCTION("""COMPUTED_VALUE"""),"Debt")</f>
        <v>Debt</v>
      </c>
      <c r="B158" s="33" t="str">
        <f>IFERROR(__xludf.DUMMYFUNCTION("""COMPUTED_VALUE"""),"Groceries")</f>
        <v>Groceries</v>
      </c>
      <c r="C158" s="33" t="str">
        <f>IFERROR(__xludf.DUMMYFUNCTION("""COMPUTED_VALUE"""),"Healthcare")</f>
        <v>Healthcare</v>
      </c>
      <c r="D158" s="33" t="str">
        <f>IFERROR(__xludf.DUMMYFUNCTION("""COMPUTED_VALUE"""),"Household Items")</f>
        <v>Household Items</v>
      </c>
      <c r="E158" s="33" t="str">
        <f>IFERROR(__xludf.DUMMYFUNCTION("""COMPUTED_VALUE"""),"Housing")</f>
        <v>Housing</v>
      </c>
      <c r="F158" s="33" t="str">
        <f>IFERROR(__xludf.DUMMYFUNCTION("""COMPUTED_VALUE"""),"Miscellaneous")</f>
        <v>Miscellaneous</v>
      </c>
      <c r="G158" s="33" t="str">
        <f>IFERROR(__xludf.DUMMYFUNCTION("""COMPUTED_VALUE"""),"Pet")</f>
        <v>Pet</v>
      </c>
      <c r="H158" s="33" t="str">
        <f>IFERROR(__xludf.DUMMYFUNCTION("""COMPUTED_VALUE"""),"Transportation")</f>
        <v>Transportation</v>
      </c>
      <c r="I158" s="33"/>
      <c r="J158" s="33"/>
      <c r="K158" s="33"/>
    </row>
    <row r="159">
      <c r="A159" s="33" t="str">
        <f>IFERROR(__xludf.DUMMYFUNCTION("""COMPUTED_VALUE"""),"Debt")</f>
        <v>Debt</v>
      </c>
      <c r="B159" s="33" t="str">
        <f>IFERROR(__xludf.DUMMYFUNCTION("""COMPUTED_VALUE"""),"Groceries")</f>
        <v>Groceries</v>
      </c>
      <c r="C159" s="33" t="str">
        <f>IFERROR(__xludf.DUMMYFUNCTION("""COMPUTED_VALUE"""),"Healthcare")</f>
        <v>Healthcare</v>
      </c>
      <c r="D159" s="33" t="str">
        <f>IFERROR(__xludf.DUMMYFUNCTION("""COMPUTED_VALUE"""),"Household Items")</f>
        <v>Household Items</v>
      </c>
      <c r="E159" s="33" t="str">
        <f>IFERROR(__xludf.DUMMYFUNCTION("""COMPUTED_VALUE"""),"Housing")</f>
        <v>Housing</v>
      </c>
      <c r="F159" s="33" t="str">
        <f>IFERROR(__xludf.DUMMYFUNCTION("""COMPUTED_VALUE"""),"Miscellaneous")</f>
        <v>Miscellaneous</v>
      </c>
      <c r="G159" s="33" t="str">
        <f>IFERROR(__xludf.DUMMYFUNCTION("""COMPUTED_VALUE"""),"Pet")</f>
        <v>Pet</v>
      </c>
      <c r="H159" s="33" t="str">
        <f>IFERROR(__xludf.DUMMYFUNCTION("""COMPUTED_VALUE"""),"Transportation")</f>
        <v>Transportation</v>
      </c>
      <c r="I159" s="33"/>
      <c r="J159" s="33"/>
      <c r="K159" s="33"/>
    </row>
    <row r="160">
      <c r="A160" s="33" t="str">
        <f>IFERROR(__xludf.DUMMYFUNCTION("""COMPUTED_VALUE"""),"Debt")</f>
        <v>Debt</v>
      </c>
      <c r="B160" s="33" t="str">
        <f>IFERROR(__xludf.DUMMYFUNCTION("""COMPUTED_VALUE"""),"Groceries")</f>
        <v>Groceries</v>
      </c>
      <c r="C160" s="33" t="str">
        <f>IFERROR(__xludf.DUMMYFUNCTION("""COMPUTED_VALUE"""),"Healthcare")</f>
        <v>Healthcare</v>
      </c>
      <c r="D160" s="33" t="str">
        <f>IFERROR(__xludf.DUMMYFUNCTION("""COMPUTED_VALUE"""),"Household Items")</f>
        <v>Household Items</v>
      </c>
      <c r="E160" s="33" t="str">
        <f>IFERROR(__xludf.DUMMYFUNCTION("""COMPUTED_VALUE"""),"Housing")</f>
        <v>Housing</v>
      </c>
      <c r="F160" s="33" t="str">
        <f>IFERROR(__xludf.DUMMYFUNCTION("""COMPUTED_VALUE"""),"Miscellaneous")</f>
        <v>Miscellaneous</v>
      </c>
      <c r="G160" s="33" t="str">
        <f>IFERROR(__xludf.DUMMYFUNCTION("""COMPUTED_VALUE"""),"Pet")</f>
        <v>Pet</v>
      </c>
      <c r="H160" s="33" t="str">
        <f>IFERROR(__xludf.DUMMYFUNCTION("""COMPUTED_VALUE"""),"Transportation")</f>
        <v>Transportation</v>
      </c>
      <c r="I160" s="33"/>
      <c r="J160" s="33"/>
      <c r="K160" s="33"/>
    </row>
    <row r="161">
      <c r="A161" s="33" t="str">
        <f>IFERROR(__xludf.DUMMYFUNCTION("""COMPUTED_VALUE"""),"Debt")</f>
        <v>Debt</v>
      </c>
      <c r="B161" s="33" t="str">
        <f>IFERROR(__xludf.DUMMYFUNCTION("""COMPUTED_VALUE"""),"Groceries")</f>
        <v>Groceries</v>
      </c>
      <c r="C161" s="33" t="str">
        <f>IFERROR(__xludf.DUMMYFUNCTION("""COMPUTED_VALUE"""),"Healthcare")</f>
        <v>Healthcare</v>
      </c>
      <c r="D161" s="33" t="str">
        <f>IFERROR(__xludf.DUMMYFUNCTION("""COMPUTED_VALUE"""),"Household Items")</f>
        <v>Household Items</v>
      </c>
      <c r="E161" s="33" t="str">
        <f>IFERROR(__xludf.DUMMYFUNCTION("""COMPUTED_VALUE"""),"Housing")</f>
        <v>Housing</v>
      </c>
      <c r="F161" s="33" t="str">
        <f>IFERROR(__xludf.DUMMYFUNCTION("""COMPUTED_VALUE"""),"Miscellaneous")</f>
        <v>Miscellaneous</v>
      </c>
      <c r="G161" s="33" t="str">
        <f>IFERROR(__xludf.DUMMYFUNCTION("""COMPUTED_VALUE"""),"Pet")</f>
        <v>Pet</v>
      </c>
      <c r="H161" s="33" t="str">
        <f>IFERROR(__xludf.DUMMYFUNCTION("""COMPUTED_VALUE"""),"Transportation")</f>
        <v>Transportation</v>
      </c>
      <c r="I161" s="33"/>
      <c r="J161" s="33"/>
      <c r="K161" s="33"/>
    </row>
    <row r="162">
      <c r="A162" s="33" t="str">
        <f>IFERROR(__xludf.DUMMYFUNCTION("""COMPUTED_VALUE"""),"Debt")</f>
        <v>Debt</v>
      </c>
      <c r="B162" s="33" t="str">
        <f>IFERROR(__xludf.DUMMYFUNCTION("""COMPUTED_VALUE"""),"Groceries")</f>
        <v>Groceries</v>
      </c>
      <c r="C162" s="33" t="str">
        <f>IFERROR(__xludf.DUMMYFUNCTION("""COMPUTED_VALUE"""),"Healthcare")</f>
        <v>Healthcare</v>
      </c>
      <c r="D162" s="33" t="str">
        <f>IFERROR(__xludf.DUMMYFUNCTION("""COMPUTED_VALUE"""),"Household Items")</f>
        <v>Household Items</v>
      </c>
      <c r="E162" s="33" t="str">
        <f>IFERROR(__xludf.DUMMYFUNCTION("""COMPUTED_VALUE"""),"Housing")</f>
        <v>Housing</v>
      </c>
      <c r="F162" s="33" t="str">
        <f>IFERROR(__xludf.DUMMYFUNCTION("""COMPUTED_VALUE"""),"Miscellaneous")</f>
        <v>Miscellaneous</v>
      </c>
      <c r="G162" s="33" t="str">
        <f>IFERROR(__xludf.DUMMYFUNCTION("""COMPUTED_VALUE"""),"Pet")</f>
        <v>Pet</v>
      </c>
      <c r="H162" s="33" t="str">
        <f>IFERROR(__xludf.DUMMYFUNCTION("""COMPUTED_VALUE"""),"Transportation")</f>
        <v>Transportation</v>
      </c>
      <c r="I162" s="33"/>
      <c r="J162" s="33"/>
      <c r="K162" s="33"/>
    </row>
    <row r="163">
      <c r="A163" s="33" t="str">
        <f>IFERROR(__xludf.DUMMYFUNCTION("""COMPUTED_VALUE"""),"Debt")</f>
        <v>Debt</v>
      </c>
      <c r="B163" s="33" t="str">
        <f>IFERROR(__xludf.DUMMYFUNCTION("""COMPUTED_VALUE"""),"Groceries")</f>
        <v>Groceries</v>
      </c>
      <c r="C163" s="33" t="str">
        <f>IFERROR(__xludf.DUMMYFUNCTION("""COMPUTED_VALUE"""),"Healthcare")</f>
        <v>Healthcare</v>
      </c>
      <c r="D163" s="33" t="str">
        <f>IFERROR(__xludf.DUMMYFUNCTION("""COMPUTED_VALUE"""),"Household Items")</f>
        <v>Household Items</v>
      </c>
      <c r="E163" s="33" t="str">
        <f>IFERROR(__xludf.DUMMYFUNCTION("""COMPUTED_VALUE"""),"Housing")</f>
        <v>Housing</v>
      </c>
      <c r="F163" s="33" t="str">
        <f>IFERROR(__xludf.DUMMYFUNCTION("""COMPUTED_VALUE"""),"Miscellaneous")</f>
        <v>Miscellaneous</v>
      </c>
      <c r="G163" s="33" t="str">
        <f>IFERROR(__xludf.DUMMYFUNCTION("""COMPUTED_VALUE"""),"Pet")</f>
        <v>Pet</v>
      </c>
      <c r="H163" s="33" t="str">
        <f>IFERROR(__xludf.DUMMYFUNCTION("""COMPUTED_VALUE"""),"Transportation")</f>
        <v>Transportation</v>
      </c>
      <c r="I163" s="33"/>
      <c r="J163" s="33"/>
      <c r="K163" s="33"/>
    </row>
    <row r="164">
      <c r="A164" s="33" t="str">
        <f>IFERROR(__xludf.DUMMYFUNCTION("""COMPUTED_VALUE"""),"Debt")</f>
        <v>Debt</v>
      </c>
      <c r="B164" s="33" t="str">
        <f>IFERROR(__xludf.DUMMYFUNCTION("""COMPUTED_VALUE"""),"Groceries")</f>
        <v>Groceries</v>
      </c>
      <c r="C164" s="33" t="str">
        <f>IFERROR(__xludf.DUMMYFUNCTION("""COMPUTED_VALUE"""),"Healthcare")</f>
        <v>Healthcare</v>
      </c>
      <c r="D164" s="33" t="str">
        <f>IFERROR(__xludf.DUMMYFUNCTION("""COMPUTED_VALUE"""),"Household Items")</f>
        <v>Household Items</v>
      </c>
      <c r="E164" s="33" t="str">
        <f>IFERROR(__xludf.DUMMYFUNCTION("""COMPUTED_VALUE"""),"Housing")</f>
        <v>Housing</v>
      </c>
      <c r="F164" s="33" t="str">
        <f>IFERROR(__xludf.DUMMYFUNCTION("""COMPUTED_VALUE"""),"Miscellaneous")</f>
        <v>Miscellaneous</v>
      </c>
      <c r="G164" s="33" t="str">
        <f>IFERROR(__xludf.DUMMYFUNCTION("""COMPUTED_VALUE"""),"Pet")</f>
        <v>Pet</v>
      </c>
      <c r="H164" s="33" t="str">
        <f>IFERROR(__xludf.DUMMYFUNCTION("""COMPUTED_VALUE"""),"Transportation")</f>
        <v>Transportation</v>
      </c>
      <c r="I164" s="33"/>
      <c r="J164" s="33"/>
      <c r="K164" s="33"/>
    </row>
    <row r="165">
      <c r="A165" s="33" t="str">
        <f>IFERROR(__xludf.DUMMYFUNCTION("""COMPUTED_VALUE"""),"Debt")</f>
        <v>Debt</v>
      </c>
      <c r="B165" s="33" t="str">
        <f>IFERROR(__xludf.DUMMYFUNCTION("""COMPUTED_VALUE"""),"Groceries")</f>
        <v>Groceries</v>
      </c>
      <c r="C165" s="33" t="str">
        <f>IFERROR(__xludf.DUMMYFUNCTION("""COMPUTED_VALUE"""),"Healthcare")</f>
        <v>Healthcare</v>
      </c>
      <c r="D165" s="33" t="str">
        <f>IFERROR(__xludf.DUMMYFUNCTION("""COMPUTED_VALUE"""),"Household Items")</f>
        <v>Household Items</v>
      </c>
      <c r="E165" s="33" t="str">
        <f>IFERROR(__xludf.DUMMYFUNCTION("""COMPUTED_VALUE"""),"Housing")</f>
        <v>Housing</v>
      </c>
      <c r="F165" s="33" t="str">
        <f>IFERROR(__xludf.DUMMYFUNCTION("""COMPUTED_VALUE"""),"Miscellaneous")</f>
        <v>Miscellaneous</v>
      </c>
      <c r="G165" s="33" t="str">
        <f>IFERROR(__xludf.DUMMYFUNCTION("""COMPUTED_VALUE"""),"Pet")</f>
        <v>Pet</v>
      </c>
      <c r="H165" s="33" t="str">
        <f>IFERROR(__xludf.DUMMYFUNCTION("""COMPUTED_VALUE"""),"Transportation")</f>
        <v>Transportation</v>
      </c>
      <c r="I165" s="33"/>
      <c r="J165" s="33"/>
      <c r="K165" s="33"/>
    </row>
    <row r="166">
      <c r="A166" s="33" t="str">
        <f>IFERROR(__xludf.DUMMYFUNCTION("""COMPUTED_VALUE"""),"Debt")</f>
        <v>Debt</v>
      </c>
      <c r="B166" s="33" t="str">
        <f>IFERROR(__xludf.DUMMYFUNCTION("""COMPUTED_VALUE"""),"Groceries")</f>
        <v>Groceries</v>
      </c>
      <c r="C166" s="33" t="str">
        <f>IFERROR(__xludf.DUMMYFUNCTION("""COMPUTED_VALUE"""),"Healthcare")</f>
        <v>Healthcare</v>
      </c>
      <c r="D166" s="33" t="str">
        <f>IFERROR(__xludf.DUMMYFUNCTION("""COMPUTED_VALUE"""),"Household Items")</f>
        <v>Household Items</v>
      </c>
      <c r="E166" s="33" t="str">
        <f>IFERROR(__xludf.DUMMYFUNCTION("""COMPUTED_VALUE"""),"Housing")</f>
        <v>Housing</v>
      </c>
      <c r="F166" s="33" t="str">
        <f>IFERROR(__xludf.DUMMYFUNCTION("""COMPUTED_VALUE"""),"Miscellaneous")</f>
        <v>Miscellaneous</v>
      </c>
      <c r="G166" s="33" t="str">
        <f>IFERROR(__xludf.DUMMYFUNCTION("""COMPUTED_VALUE"""),"Pet")</f>
        <v>Pet</v>
      </c>
      <c r="H166" s="33" t="str">
        <f>IFERROR(__xludf.DUMMYFUNCTION("""COMPUTED_VALUE"""),"Transportation")</f>
        <v>Transportation</v>
      </c>
      <c r="I166" s="33"/>
      <c r="J166" s="33"/>
      <c r="K166" s="33"/>
    </row>
    <row r="167">
      <c r="A167" s="33" t="str">
        <f>IFERROR(__xludf.DUMMYFUNCTION("""COMPUTED_VALUE"""),"Debt")</f>
        <v>Debt</v>
      </c>
      <c r="B167" s="33" t="str">
        <f>IFERROR(__xludf.DUMMYFUNCTION("""COMPUTED_VALUE"""),"Groceries")</f>
        <v>Groceries</v>
      </c>
      <c r="C167" s="33" t="str">
        <f>IFERROR(__xludf.DUMMYFUNCTION("""COMPUTED_VALUE"""),"Healthcare")</f>
        <v>Healthcare</v>
      </c>
      <c r="D167" s="33" t="str">
        <f>IFERROR(__xludf.DUMMYFUNCTION("""COMPUTED_VALUE"""),"Household Items")</f>
        <v>Household Items</v>
      </c>
      <c r="E167" s="33" t="str">
        <f>IFERROR(__xludf.DUMMYFUNCTION("""COMPUTED_VALUE"""),"Housing")</f>
        <v>Housing</v>
      </c>
      <c r="F167" s="33" t="str">
        <f>IFERROR(__xludf.DUMMYFUNCTION("""COMPUTED_VALUE"""),"Miscellaneous")</f>
        <v>Miscellaneous</v>
      </c>
      <c r="G167" s="33" t="str">
        <f>IFERROR(__xludf.DUMMYFUNCTION("""COMPUTED_VALUE"""),"Pet")</f>
        <v>Pet</v>
      </c>
      <c r="H167" s="33" t="str">
        <f>IFERROR(__xludf.DUMMYFUNCTION("""COMPUTED_VALUE"""),"Transportation")</f>
        <v>Transportation</v>
      </c>
      <c r="I167" s="33"/>
      <c r="J167" s="33"/>
      <c r="K167" s="33"/>
    </row>
    <row r="168">
      <c r="A168" s="33" t="str">
        <f>IFERROR(__xludf.DUMMYFUNCTION("""COMPUTED_VALUE"""),"Deposit")</f>
        <v>Deposit</v>
      </c>
      <c r="B168" s="33" t="str">
        <f>IFERROR(__xludf.DUMMYFUNCTION("""COMPUTED_VALUE"""),"Withdrawal")</f>
        <v>Withdrawal</v>
      </c>
      <c r="C168" s="33"/>
      <c r="D168" s="33"/>
      <c r="E168" s="33"/>
      <c r="F168" s="33"/>
      <c r="G168" s="33"/>
      <c r="H168" s="33"/>
      <c r="I168" s="33"/>
      <c r="J168" s="33"/>
      <c r="K168" s="33"/>
    </row>
    <row r="169">
      <c r="A169" s="33" t="str">
        <f>IFERROR(__xludf.DUMMYFUNCTION("""COMPUTED_VALUE"""),"Deposit")</f>
        <v>Deposit</v>
      </c>
      <c r="B169" s="33" t="str">
        <f>IFERROR(__xludf.DUMMYFUNCTION("""COMPUTED_VALUE"""),"Withdrawal")</f>
        <v>Withdrawal</v>
      </c>
      <c r="C169" s="33"/>
      <c r="D169" s="33"/>
      <c r="E169" s="33"/>
      <c r="F169" s="33"/>
      <c r="G169" s="33"/>
      <c r="H169" s="33"/>
      <c r="I169" s="33"/>
      <c r="J169" s="33"/>
      <c r="K169" s="33"/>
    </row>
    <row r="170">
      <c r="A170" s="33" t="str">
        <f>IFERROR(__xludf.DUMMYFUNCTION("""COMPUTED_VALUE"""),"Debt")</f>
        <v>Debt</v>
      </c>
      <c r="B170" s="33" t="str">
        <f>IFERROR(__xludf.DUMMYFUNCTION("""COMPUTED_VALUE"""),"Groceries")</f>
        <v>Groceries</v>
      </c>
      <c r="C170" s="33" t="str">
        <f>IFERROR(__xludf.DUMMYFUNCTION("""COMPUTED_VALUE"""),"Healthcare")</f>
        <v>Healthcare</v>
      </c>
      <c r="D170" s="33" t="str">
        <f>IFERROR(__xludf.DUMMYFUNCTION("""COMPUTED_VALUE"""),"Household Items")</f>
        <v>Household Items</v>
      </c>
      <c r="E170" s="33" t="str">
        <f>IFERROR(__xludf.DUMMYFUNCTION("""COMPUTED_VALUE"""),"Housing")</f>
        <v>Housing</v>
      </c>
      <c r="F170" s="33" t="str">
        <f>IFERROR(__xludf.DUMMYFUNCTION("""COMPUTED_VALUE"""),"Miscellaneous")</f>
        <v>Miscellaneous</v>
      </c>
      <c r="G170" s="33" t="str">
        <f>IFERROR(__xludf.DUMMYFUNCTION("""COMPUTED_VALUE"""),"Pet")</f>
        <v>Pet</v>
      </c>
      <c r="H170" s="33" t="str">
        <f>IFERROR(__xludf.DUMMYFUNCTION("""COMPUTED_VALUE"""),"Transportation")</f>
        <v>Transportation</v>
      </c>
      <c r="I170" s="33"/>
      <c r="J170" s="33"/>
      <c r="K170" s="33"/>
    </row>
    <row r="171">
      <c r="A171" s="33" t="str">
        <f>IFERROR(__xludf.DUMMYFUNCTION("""COMPUTED_VALUE"""),"Debt")</f>
        <v>Debt</v>
      </c>
      <c r="B171" s="33" t="str">
        <f>IFERROR(__xludf.DUMMYFUNCTION("""COMPUTED_VALUE"""),"Groceries")</f>
        <v>Groceries</v>
      </c>
      <c r="C171" s="33" t="str">
        <f>IFERROR(__xludf.DUMMYFUNCTION("""COMPUTED_VALUE"""),"Healthcare")</f>
        <v>Healthcare</v>
      </c>
      <c r="D171" s="33" t="str">
        <f>IFERROR(__xludf.DUMMYFUNCTION("""COMPUTED_VALUE"""),"Household Items")</f>
        <v>Household Items</v>
      </c>
      <c r="E171" s="33" t="str">
        <f>IFERROR(__xludf.DUMMYFUNCTION("""COMPUTED_VALUE"""),"Housing")</f>
        <v>Housing</v>
      </c>
      <c r="F171" s="33" t="str">
        <f>IFERROR(__xludf.DUMMYFUNCTION("""COMPUTED_VALUE"""),"Miscellaneous")</f>
        <v>Miscellaneous</v>
      </c>
      <c r="G171" s="33" t="str">
        <f>IFERROR(__xludf.DUMMYFUNCTION("""COMPUTED_VALUE"""),"Pet")</f>
        <v>Pet</v>
      </c>
      <c r="H171" s="33" t="str">
        <f>IFERROR(__xludf.DUMMYFUNCTION("""COMPUTED_VALUE"""),"Transportation")</f>
        <v>Transportation</v>
      </c>
      <c r="I171" s="33"/>
      <c r="J171" s="33"/>
      <c r="K171" s="33"/>
    </row>
    <row r="172">
      <c r="A172" s="33" t="str">
        <f>IFERROR(__xludf.DUMMYFUNCTION("""COMPUTED_VALUE"""),"Debt")</f>
        <v>Debt</v>
      </c>
      <c r="B172" s="33" t="str">
        <f>IFERROR(__xludf.DUMMYFUNCTION("""COMPUTED_VALUE"""),"Groceries")</f>
        <v>Groceries</v>
      </c>
      <c r="C172" s="33" t="str">
        <f>IFERROR(__xludf.DUMMYFUNCTION("""COMPUTED_VALUE"""),"Healthcare")</f>
        <v>Healthcare</v>
      </c>
      <c r="D172" s="33" t="str">
        <f>IFERROR(__xludf.DUMMYFUNCTION("""COMPUTED_VALUE"""),"Household Items")</f>
        <v>Household Items</v>
      </c>
      <c r="E172" s="33" t="str">
        <f>IFERROR(__xludf.DUMMYFUNCTION("""COMPUTED_VALUE"""),"Housing")</f>
        <v>Housing</v>
      </c>
      <c r="F172" s="33" t="str">
        <f>IFERROR(__xludf.DUMMYFUNCTION("""COMPUTED_VALUE"""),"Miscellaneous")</f>
        <v>Miscellaneous</v>
      </c>
      <c r="G172" s="33" t="str">
        <f>IFERROR(__xludf.DUMMYFUNCTION("""COMPUTED_VALUE"""),"Pet")</f>
        <v>Pet</v>
      </c>
      <c r="H172" s="33" t="str">
        <f>IFERROR(__xludf.DUMMYFUNCTION("""COMPUTED_VALUE"""),"Transportation")</f>
        <v>Transportation</v>
      </c>
      <c r="I172" s="33"/>
      <c r="J172" s="33"/>
      <c r="K172" s="33"/>
    </row>
    <row r="173">
      <c r="A173" s="33" t="str">
        <f>IFERROR(__xludf.DUMMYFUNCTION("""COMPUTED_VALUE"""),"Debt")</f>
        <v>Debt</v>
      </c>
      <c r="B173" s="33" t="str">
        <f>IFERROR(__xludf.DUMMYFUNCTION("""COMPUTED_VALUE"""),"Groceries")</f>
        <v>Groceries</v>
      </c>
      <c r="C173" s="33" t="str">
        <f>IFERROR(__xludf.DUMMYFUNCTION("""COMPUTED_VALUE"""),"Healthcare")</f>
        <v>Healthcare</v>
      </c>
      <c r="D173" s="33" t="str">
        <f>IFERROR(__xludf.DUMMYFUNCTION("""COMPUTED_VALUE"""),"Household Items")</f>
        <v>Household Items</v>
      </c>
      <c r="E173" s="33" t="str">
        <f>IFERROR(__xludf.DUMMYFUNCTION("""COMPUTED_VALUE"""),"Housing")</f>
        <v>Housing</v>
      </c>
      <c r="F173" s="33" t="str">
        <f>IFERROR(__xludf.DUMMYFUNCTION("""COMPUTED_VALUE"""),"Miscellaneous")</f>
        <v>Miscellaneous</v>
      </c>
      <c r="G173" s="33" t="str">
        <f>IFERROR(__xludf.DUMMYFUNCTION("""COMPUTED_VALUE"""),"Pet")</f>
        <v>Pet</v>
      </c>
      <c r="H173" s="33" t="str">
        <f>IFERROR(__xludf.DUMMYFUNCTION("""COMPUTED_VALUE"""),"Transportation")</f>
        <v>Transportation</v>
      </c>
      <c r="I173" s="33"/>
      <c r="J173" s="33"/>
      <c r="K173" s="33"/>
    </row>
    <row r="174">
      <c r="A174" s="33" t="str">
        <f>IFERROR(__xludf.DUMMYFUNCTION("""COMPUTED_VALUE"""),"Debt")</f>
        <v>Debt</v>
      </c>
      <c r="B174" s="33" t="str">
        <f>IFERROR(__xludf.DUMMYFUNCTION("""COMPUTED_VALUE"""),"Groceries")</f>
        <v>Groceries</v>
      </c>
      <c r="C174" s="33" t="str">
        <f>IFERROR(__xludf.DUMMYFUNCTION("""COMPUTED_VALUE"""),"Healthcare")</f>
        <v>Healthcare</v>
      </c>
      <c r="D174" s="33" t="str">
        <f>IFERROR(__xludf.DUMMYFUNCTION("""COMPUTED_VALUE"""),"Household Items")</f>
        <v>Household Items</v>
      </c>
      <c r="E174" s="33" t="str">
        <f>IFERROR(__xludf.DUMMYFUNCTION("""COMPUTED_VALUE"""),"Housing")</f>
        <v>Housing</v>
      </c>
      <c r="F174" s="33" t="str">
        <f>IFERROR(__xludf.DUMMYFUNCTION("""COMPUTED_VALUE"""),"Miscellaneous")</f>
        <v>Miscellaneous</v>
      </c>
      <c r="G174" s="33" t="str">
        <f>IFERROR(__xludf.DUMMYFUNCTION("""COMPUTED_VALUE"""),"Pet")</f>
        <v>Pet</v>
      </c>
      <c r="H174" s="33" t="str">
        <f>IFERROR(__xludf.DUMMYFUNCTION("""COMPUTED_VALUE"""),"Transportation")</f>
        <v>Transportation</v>
      </c>
      <c r="I174" s="33"/>
      <c r="J174" s="33"/>
      <c r="K174" s="33"/>
    </row>
    <row r="175">
      <c r="A175" s="33" t="str">
        <f>IFERROR(__xludf.DUMMYFUNCTION("""COMPUTED_VALUE"""),"Dining Out")</f>
        <v>Dining Out</v>
      </c>
      <c r="B175" s="33" t="str">
        <f>IFERROR(__xludf.DUMMYFUNCTION("""COMPUTED_VALUE"""),"Entertainment")</f>
        <v>Entertainment</v>
      </c>
      <c r="C175" s="33" t="str">
        <f>IFERROR(__xludf.DUMMYFUNCTION("""COMPUTED_VALUE"""),"Gaming")</f>
        <v>Gaming</v>
      </c>
      <c r="D175" s="33" t="str">
        <f>IFERROR(__xludf.DUMMYFUNCTION("""COMPUTED_VALUE"""),"Gifts")</f>
        <v>Gifts</v>
      </c>
      <c r="E175" s="33" t="str">
        <f>IFERROR(__xludf.DUMMYFUNCTION("""COMPUTED_VALUE"""),"Groceries")</f>
        <v>Groceries</v>
      </c>
      <c r="F175" s="33" t="str">
        <f>IFERROR(__xludf.DUMMYFUNCTION("""COMPUTED_VALUE"""),"Healthcare")</f>
        <v>Healthcare</v>
      </c>
      <c r="G175" s="33" t="str">
        <f>IFERROR(__xludf.DUMMYFUNCTION("""COMPUTED_VALUE"""),"Hobbies")</f>
        <v>Hobbies</v>
      </c>
      <c r="H175" s="33" t="str">
        <f>IFERROR(__xludf.DUMMYFUNCTION("""COMPUTED_VALUE"""),"Household Items")</f>
        <v>Household Items</v>
      </c>
      <c r="I175" s="33" t="str">
        <f>IFERROR(__xludf.DUMMYFUNCTION("""COMPUTED_VALUE"""),"Subscriptions")</f>
        <v>Subscriptions</v>
      </c>
      <c r="J175" s="33" t="str">
        <f>IFERROR(__xludf.DUMMYFUNCTION("""COMPUTED_VALUE"""),"Transportation")</f>
        <v>Transportation</v>
      </c>
      <c r="K175" s="33" t="str">
        <f>IFERROR(__xludf.DUMMYFUNCTION("""COMPUTED_VALUE"""),"Travel")</f>
        <v>Travel</v>
      </c>
    </row>
    <row r="176">
      <c r="A176" s="33" t="str">
        <f>IFERROR(__xludf.DUMMYFUNCTION("""COMPUTED_VALUE"""),"Dining Out")</f>
        <v>Dining Out</v>
      </c>
      <c r="B176" s="33" t="str">
        <f>IFERROR(__xludf.DUMMYFUNCTION("""COMPUTED_VALUE"""),"Entertainment")</f>
        <v>Entertainment</v>
      </c>
      <c r="C176" s="33" t="str">
        <f>IFERROR(__xludf.DUMMYFUNCTION("""COMPUTED_VALUE"""),"Gaming")</f>
        <v>Gaming</v>
      </c>
      <c r="D176" s="33" t="str">
        <f>IFERROR(__xludf.DUMMYFUNCTION("""COMPUTED_VALUE"""),"Gifts")</f>
        <v>Gifts</v>
      </c>
      <c r="E176" s="33" t="str">
        <f>IFERROR(__xludf.DUMMYFUNCTION("""COMPUTED_VALUE"""),"Groceries")</f>
        <v>Groceries</v>
      </c>
      <c r="F176" s="33" t="str">
        <f>IFERROR(__xludf.DUMMYFUNCTION("""COMPUTED_VALUE"""),"Healthcare")</f>
        <v>Healthcare</v>
      </c>
      <c r="G176" s="33" t="str">
        <f>IFERROR(__xludf.DUMMYFUNCTION("""COMPUTED_VALUE"""),"Hobbies")</f>
        <v>Hobbies</v>
      </c>
      <c r="H176" s="33" t="str">
        <f>IFERROR(__xludf.DUMMYFUNCTION("""COMPUTED_VALUE"""),"Household Items")</f>
        <v>Household Items</v>
      </c>
      <c r="I176" s="33" t="str">
        <f>IFERROR(__xludf.DUMMYFUNCTION("""COMPUTED_VALUE"""),"Subscriptions")</f>
        <v>Subscriptions</v>
      </c>
      <c r="J176" s="33" t="str">
        <f>IFERROR(__xludf.DUMMYFUNCTION("""COMPUTED_VALUE"""),"Transportation")</f>
        <v>Transportation</v>
      </c>
      <c r="K176" s="33" t="str">
        <f>IFERROR(__xludf.DUMMYFUNCTION("""COMPUTED_VALUE"""),"Travel")</f>
        <v>Travel</v>
      </c>
    </row>
    <row r="177">
      <c r="A177" s="33" t="str">
        <f>IFERROR(__xludf.DUMMYFUNCTION("""COMPUTED_VALUE"""),"Debt")</f>
        <v>Debt</v>
      </c>
      <c r="B177" s="33" t="str">
        <f>IFERROR(__xludf.DUMMYFUNCTION("""COMPUTED_VALUE"""),"Groceries")</f>
        <v>Groceries</v>
      </c>
      <c r="C177" s="33" t="str">
        <f>IFERROR(__xludf.DUMMYFUNCTION("""COMPUTED_VALUE"""),"Healthcare")</f>
        <v>Healthcare</v>
      </c>
      <c r="D177" s="33" t="str">
        <f>IFERROR(__xludf.DUMMYFUNCTION("""COMPUTED_VALUE"""),"Household Items")</f>
        <v>Household Items</v>
      </c>
      <c r="E177" s="33" t="str">
        <f>IFERROR(__xludf.DUMMYFUNCTION("""COMPUTED_VALUE"""),"Housing")</f>
        <v>Housing</v>
      </c>
      <c r="F177" s="33" t="str">
        <f>IFERROR(__xludf.DUMMYFUNCTION("""COMPUTED_VALUE"""),"Miscellaneous")</f>
        <v>Miscellaneous</v>
      </c>
      <c r="G177" s="33" t="str">
        <f>IFERROR(__xludf.DUMMYFUNCTION("""COMPUTED_VALUE"""),"Pet")</f>
        <v>Pet</v>
      </c>
      <c r="H177" s="33" t="str">
        <f>IFERROR(__xludf.DUMMYFUNCTION("""COMPUTED_VALUE"""),"Transportation")</f>
        <v>Transportation</v>
      </c>
      <c r="I177" s="33"/>
      <c r="J177" s="33"/>
      <c r="K177" s="33"/>
    </row>
    <row r="178">
      <c r="A178" s="33" t="str">
        <f>IFERROR(__xludf.DUMMYFUNCTION("""COMPUTED_VALUE"""),"Debt")</f>
        <v>Debt</v>
      </c>
      <c r="B178" s="33" t="str">
        <f>IFERROR(__xludf.DUMMYFUNCTION("""COMPUTED_VALUE"""),"Groceries")</f>
        <v>Groceries</v>
      </c>
      <c r="C178" s="33" t="str">
        <f>IFERROR(__xludf.DUMMYFUNCTION("""COMPUTED_VALUE"""),"Healthcare")</f>
        <v>Healthcare</v>
      </c>
      <c r="D178" s="33" t="str">
        <f>IFERROR(__xludf.DUMMYFUNCTION("""COMPUTED_VALUE"""),"Household Items")</f>
        <v>Household Items</v>
      </c>
      <c r="E178" s="33" t="str">
        <f>IFERROR(__xludf.DUMMYFUNCTION("""COMPUTED_VALUE"""),"Housing")</f>
        <v>Housing</v>
      </c>
      <c r="F178" s="33" t="str">
        <f>IFERROR(__xludf.DUMMYFUNCTION("""COMPUTED_VALUE"""),"Miscellaneous")</f>
        <v>Miscellaneous</v>
      </c>
      <c r="G178" s="33" t="str">
        <f>IFERROR(__xludf.DUMMYFUNCTION("""COMPUTED_VALUE"""),"Pet")</f>
        <v>Pet</v>
      </c>
      <c r="H178" s="33" t="str">
        <f>IFERROR(__xludf.DUMMYFUNCTION("""COMPUTED_VALUE"""),"Transportation")</f>
        <v>Transportation</v>
      </c>
      <c r="I178" s="33"/>
      <c r="J178" s="33"/>
      <c r="K178" s="33"/>
    </row>
    <row r="179">
      <c r="A179" s="33" t="str">
        <f>IFERROR(__xludf.DUMMYFUNCTION("""COMPUTED_VALUE"""),"Debt")</f>
        <v>Debt</v>
      </c>
      <c r="B179" s="33" t="str">
        <f>IFERROR(__xludf.DUMMYFUNCTION("""COMPUTED_VALUE"""),"Groceries")</f>
        <v>Groceries</v>
      </c>
      <c r="C179" s="33" t="str">
        <f>IFERROR(__xludf.DUMMYFUNCTION("""COMPUTED_VALUE"""),"Healthcare")</f>
        <v>Healthcare</v>
      </c>
      <c r="D179" s="33" t="str">
        <f>IFERROR(__xludf.DUMMYFUNCTION("""COMPUTED_VALUE"""),"Household Items")</f>
        <v>Household Items</v>
      </c>
      <c r="E179" s="33" t="str">
        <f>IFERROR(__xludf.DUMMYFUNCTION("""COMPUTED_VALUE"""),"Housing")</f>
        <v>Housing</v>
      </c>
      <c r="F179" s="33" t="str">
        <f>IFERROR(__xludf.DUMMYFUNCTION("""COMPUTED_VALUE"""),"Miscellaneous")</f>
        <v>Miscellaneous</v>
      </c>
      <c r="G179" s="33" t="str">
        <f>IFERROR(__xludf.DUMMYFUNCTION("""COMPUTED_VALUE"""),"Pet")</f>
        <v>Pet</v>
      </c>
      <c r="H179" s="33" t="str">
        <f>IFERROR(__xludf.DUMMYFUNCTION("""COMPUTED_VALUE"""),"Transportation")</f>
        <v>Transportation</v>
      </c>
      <c r="I179" s="33"/>
      <c r="J179" s="33"/>
      <c r="K179" s="33"/>
    </row>
    <row r="180">
      <c r="A180" s="33" t="str">
        <f>IFERROR(__xludf.DUMMYFUNCTION("""COMPUTED_VALUE"""),"Debt")</f>
        <v>Debt</v>
      </c>
      <c r="B180" s="33" t="str">
        <f>IFERROR(__xludf.DUMMYFUNCTION("""COMPUTED_VALUE"""),"Groceries")</f>
        <v>Groceries</v>
      </c>
      <c r="C180" s="33" t="str">
        <f>IFERROR(__xludf.DUMMYFUNCTION("""COMPUTED_VALUE"""),"Healthcare")</f>
        <v>Healthcare</v>
      </c>
      <c r="D180" s="33" t="str">
        <f>IFERROR(__xludf.DUMMYFUNCTION("""COMPUTED_VALUE"""),"Household Items")</f>
        <v>Household Items</v>
      </c>
      <c r="E180" s="33" t="str">
        <f>IFERROR(__xludf.DUMMYFUNCTION("""COMPUTED_VALUE"""),"Housing")</f>
        <v>Housing</v>
      </c>
      <c r="F180" s="33" t="str">
        <f>IFERROR(__xludf.DUMMYFUNCTION("""COMPUTED_VALUE"""),"Miscellaneous")</f>
        <v>Miscellaneous</v>
      </c>
      <c r="G180" s="33" t="str">
        <f>IFERROR(__xludf.DUMMYFUNCTION("""COMPUTED_VALUE"""),"Pet")</f>
        <v>Pet</v>
      </c>
      <c r="H180" s="33" t="str">
        <f>IFERROR(__xludf.DUMMYFUNCTION("""COMPUTED_VALUE"""),"Transportation")</f>
        <v>Transportation</v>
      </c>
      <c r="I180" s="33"/>
      <c r="J180" s="33"/>
      <c r="K180" s="33"/>
    </row>
    <row r="181">
      <c r="A181" s="33" t="str">
        <f>IFERROR(__xludf.DUMMYFUNCTION("""COMPUTED_VALUE"""),"Debt")</f>
        <v>Debt</v>
      </c>
      <c r="B181" s="33" t="str">
        <f>IFERROR(__xludf.DUMMYFUNCTION("""COMPUTED_VALUE"""),"Groceries")</f>
        <v>Groceries</v>
      </c>
      <c r="C181" s="33" t="str">
        <f>IFERROR(__xludf.DUMMYFUNCTION("""COMPUTED_VALUE"""),"Healthcare")</f>
        <v>Healthcare</v>
      </c>
      <c r="D181" s="33" t="str">
        <f>IFERROR(__xludf.DUMMYFUNCTION("""COMPUTED_VALUE"""),"Household Items")</f>
        <v>Household Items</v>
      </c>
      <c r="E181" s="33" t="str">
        <f>IFERROR(__xludf.DUMMYFUNCTION("""COMPUTED_VALUE"""),"Housing")</f>
        <v>Housing</v>
      </c>
      <c r="F181" s="33" t="str">
        <f>IFERROR(__xludf.DUMMYFUNCTION("""COMPUTED_VALUE"""),"Miscellaneous")</f>
        <v>Miscellaneous</v>
      </c>
      <c r="G181" s="33" t="str">
        <f>IFERROR(__xludf.DUMMYFUNCTION("""COMPUTED_VALUE"""),"Pet")</f>
        <v>Pet</v>
      </c>
      <c r="H181" s="33" t="str">
        <f>IFERROR(__xludf.DUMMYFUNCTION("""COMPUTED_VALUE"""),"Transportation")</f>
        <v>Transportation</v>
      </c>
      <c r="I181" s="33"/>
      <c r="J181" s="33"/>
      <c r="K181" s="33"/>
    </row>
    <row r="182">
      <c r="A182" s="33" t="str">
        <f>IFERROR(__xludf.DUMMYFUNCTION("""COMPUTED_VALUE"""),"Clothing")</f>
        <v>Clothing</v>
      </c>
      <c r="B182" s="33" t="str">
        <f>IFERROR(__xludf.DUMMYFUNCTION("""COMPUTED_VALUE"""),"Gifts")</f>
        <v>Gifts</v>
      </c>
      <c r="C182" s="33" t="str">
        <f>IFERROR(__xludf.DUMMYFUNCTION("""COMPUTED_VALUE"""),"Healthcare")</f>
        <v>Healthcare</v>
      </c>
      <c r="D182" s="33" t="str">
        <f>IFERROR(__xludf.DUMMYFUNCTION("""COMPUTED_VALUE"""),"Hobbies")</f>
        <v>Hobbies</v>
      </c>
      <c r="E182" s="33" t="str">
        <f>IFERROR(__xludf.DUMMYFUNCTION("""COMPUTED_VALUE"""),"Organization")</f>
        <v>Organization</v>
      </c>
      <c r="F182" s="33"/>
      <c r="G182" s="33"/>
      <c r="H182" s="33"/>
      <c r="I182" s="33"/>
      <c r="J182" s="33"/>
      <c r="K182" s="33"/>
    </row>
    <row r="183">
      <c r="A183" s="33" t="str">
        <f>IFERROR(__xludf.DUMMYFUNCTION("""COMPUTED_VALUE"""),"Cashback")</f>
        <v>Cashback</v>
      </c>
      <c r="B183" s="33" t="str">
        <f>IFERROR(__xludf.DUMMYFUNCTION("""COMPUTED_VALUE"""),"Investment Returns")</f>
        <v>Investment Returns</v>
      </c>
      <c r="C183" s="33" t="str">
        <f>IFERROR(__xludf.DUMMYFUNCTION("""COMPUTED_VALUE"""),"Paycheck")</f>
        <v>Paycheck</v>
      </c>
      <c r="D183" s="33" t="str">
        <f>IFERROR(__xludf.DUMMYFUNCTION("""COMPUTED_VALUE"""),"Reimbursement")</f>
        <v>Reimbursement</v>
      </c>
      <c r="E183" s="33" t="str">
        <f>IFERROR(__xludf.DUMMYFUNCTION("""COMPUTED_VALUE"""),"Rewards")</f>
        <v>Rewards</v>
      </c>
      <c r="F183" s="33"/>
      <c r="G183" s="33"/>
      <c r="H183" s="33"/>
      <c r="I183" s="33"/>
      <c r="J183" s="33"/>
      <c r="K183" s="33"/>
    </row>
    <row r="184">
      <c r="A184" s="33" t="str">
        <f>IFERROR(__xludf.DUMMYFUNCTION("""COMPUTED_VALUE"""),"Cashback")</f>
        <v>Cashback</v>
      </c>
      <c r="B184" s="33" t="str">
        <f>IFERROR(__xludf.DUMMYFUNCTION("""COMPUTED_VALUE"""),"Investment Returns")</f>
        <v>Investment Returns</v>
      </c>
      <c r="C184" s="33" t="str">
        <f>IFERROR(__xludf.DUMMYFUNCTION("""COMPUTED_VALUE"""),"Paycheck")</f>
        <v>Paycheck</v>
      </c>
      <c r="D184" s="33" t="str">
        <f>IFERROR(__xludf.DUMMYFUNCTION("""COMPUTED_VALUE"""),"Reimbursement")</f>
        <v>Reimbursement</v>
      </c>
      <c r="E184" s="33" t="str">
        <f>IFERROR(__xludf.DUMMYFUNCTION("""COMPUTED_VALUE"""),"Rewards")</f>
        <v>Rewards</v>
      </c>
      <c r="F184" s="33"/>
      <c r="G184" s="33"/>
      <c r="H184" s="33"/>
      <c r="I184" s="33"/>
      <c r="J184" s="33"/>
      <c r="K184" s="33"/>
    </row>
    <row r="185">
      <c r="A185" s="33" t="str">
        <f>IFERROR(__xludf.DUMMYFUNCTION("""COMPUTED_VALUE"""),"Dining Out")</f>
        <v>Dining Out</v>
      </c>
      <c r="B185" s="33" t="str">
        <f>IFERROR(__xludf.DUMMYFUNCTION("""COMPUTED_VALUE"""),"Entertainment")</f>
        <v>Entertainment</v>
      </c>
      <c r="C185" s="33" t="str">
        <f>IFERROR(__xludf.DUMMYFUNCTION("""COMPUTED_VALUE"""),"Gaming")</f>
        <v>Gaming</v>
      </c>
      <c r="D185" s="33" t="str">
        <f>IFERROR(__xludf.DUMMYFUNCTION("""COMPUTED_VALUE"""),"Gifts")</f>
        <v>Gifts</v>
      </c>
      <c r="E185" s="33" t="str">
        <f>IFERROR(__xludf.DUMMYFUNCTION("""COMPUTED_VALUE"""),"Groceries")</f>
        <v>Groceries</v>
      </c>
      <c r="F185" s="33" t="str">
        <f>IFERROR(__xludf.DUMMYFUNCTION("""COMPUTED_VALUE"""),"Healthcare")</f>
        <v>Healthcare</v>
      </c>
      <c r="G185" s="33" t="str">
        <f>IFERROR(__xludf.DUMMYFUNCTION("""COMPUTED_VALUE"""),"Hobbies")</f>
        <v>Hobbies</v>
      </c>
      <c r="H185" s="33" t="str">
        <f>IFERROR(__xludf.DUMMYFUNCTION("""COMPUTED_VALUE"""),"Household Items")</f>
        <v>Household Items</v>
      </c>
      <c r="I185" s="33" t="str">
        <f>IFERROR(__xludf.DUMMYFUNCTION("""COMPUTED_VALUE"""),"Subscriptions")</f>
        <v>Subscriptions</v>
      </c>
      <c r="J185" s="33" t="str">
        <f>IFERROR(__xludf.DUMMYFUNCTION("""COMPUTED_VALUE"""),"Transportation")</f>
        <v>Transportation</v>
      </c>
      <c r="K185" s="33" t="str">
        <f>IFERROR(__xludf.DUMMYFUNCTION("""COMPUTED_VALUE"""),"Travel")</f>
        <v>Travel</v>
      </c>
    </row>
    <row r="186">
      <c r="A186" s="33" t="str">
        <f>IFERROR(__xludf.DUMMYFUNCTION("""COMPUTED_VALUE"""),"Deposit")</f>
        <v>Deposit</v>
      </c>
      <c r="B186" s="33" t="str">
        <f>IFERROR(__xludf.DUMMYFUNCTION("""COMPUTED_VALUE"""),"Withdrawal")</f>
        <v>Withdrawal</v>
      </c>
      <c r="C186" s="33"/>
      <c r="D186" s="33"/>
      <c r="E186" s="33"/>
      <c r="F186" s="33"/>
      <c r="G186" s="33"/>
      <c r="H186" s="33"/>
      <c r="I186" s="33"/>
      <c r="J186" s="33"/>
      <c r="K186" s="33"/>
    </row>
    <row r="187">
      <c r="A187" s="33" t="str">
        <f>IFERROR(__xludf.DUMMYFUNCTION("""COMPUTED_VALUE"""),"Deposit")</f>
        <v>Deposit</v>
      </c>
      <c r="B187" s="33" t="str">
        <f>IFERROR(__xludf.DUMMYFUNCTION("""COMPUTED_VALUE"""),"Withdrawal")</f>
        <v>Withdrawal</v>
      </c>
      <c r="C187" s="33"/>
      <c r="D187" s="33"/>
      <c r="E187" s="33"/>
      <c r="F187" s="33"/>
      <c r="G187" s="33"/>
      <c r="H187" s="33"/>
      <c r="I187" s="33"/>
      <c r="J187" s="33"/>
      <c r="K187" s="33"/>
    </row>
    <row r="188">
      <c r="A188" s="33" t="str">
        <f>IFERROR(__xludf.DUMMYFUNCTION("""COMPUTED_VALUE"""),"Dining Out")</f>
        <v>Dining Out</v>
      </c>
      <c r="B188" s="33" t="str">
        <f>IFERROR(__xludf.DUMMYFUNCTION("""COMPUTED_VALUE"""),"Entertainment")</f>
        <v>Entertainment</v>
      </c>
      <c r="C188" s="33" t="str">
        <f>IFERROR(__xludf.DUMMYFUNCTION("""COMPUTED_VALUE"""),"Gaming")</f>
        <v>Gaming</v>
      </c>
      <c r="D188" s="33" t="str">
        <f>IFERROR(__xludf.DUMMYFUNCTION("""COMPUTED_VALUE"""),"Gifts")</f>
        <v>Gifts</v>
      </c>
      <c r="E188" s="33" t="str">
        <f>IFERROR(__xludf.DUMMYFUNCTION("""COMPUTED_VALUE"""),"Groceries")</f>
        <v>Groceries</v>
      </c>
      <c r="F188" s="33" t="str">
        <f>IFERROR(__xludf.DUMMYFUNCTION("""COMPUTED_VALUE"""),"Healthcare")</f>
        <v>Healthcare</v>
      </c>
      <c r="G188" s="33" t="str">
        <f>IFERROR(__xludf.DUMMYFUNCTION("""COMPUTED_VALUE"""),"Hobbies")</f>
        <v>Hobbies</v>
      </c>
      <c r="H188" s="33" t="str">
        <f>IFERROR(__xludf.DUMMYFUNCTION("""COMPUTED_VALUE"""),"Household Items")</f>
        <v>Household Items</v>
      </c>
      <c r="I188" s="33" t="str">
        <f>IFERROR(__xludf.DUMMYFUNCTION("""COMPUTED_VALUE"""),"Subscriptions")</f>
        <v>Subscriptions</v>
      </c>
      <c r="J188" s="33" t="str">
        <f>IFERROR(__xludf.DUMMYFUNCTION("""COMPUTED_VALUE"""),"Transportation")</f>
        <v>Transportation</v>
      </c>
      <c r="K188" s="33" t="str">
        <f>IFERROR(__xludf.DUMMYFUNCTION("""COMPUTED_VALUE"""),"Travel")</f>
        <v>Travel</v>
      </c>
    </row>
    <row r="189">
      <c r="A189" s="33" t="str">
        <f>IFERROR(__xludf.DUMMYFUNCTION("""COMPUTED_VALUE"""),"Debt")</f>
        <v>Debt</v>
      </c>
      <c r="B189" s="33" t="str">
        <f>IFERROR(__xludf.DUMMYFUNCTION("""COMPUTED_VALUE"""),"Groceries")</f>
        <v>Groceries</v>
      </c>
      <c r="C189" s="33" t="str">
        <f>IFERROR(__xludf.DUMMYFUNCTION("""COMPUTED_VALUE"""),"Healthcare")</f>
        <v>Healthcare</v>
      </c>
      <c r="D189" s="33" t="str">
        <f>IFERROR(__xludf.DUMMYFUNCTION("""COMPUTED_VALUE"""),"Household Items")</f>
        <v>Household Items</v>
      </c>
      <c r="E189" s="33" t="str">
        <f>IFERROR(__xludf.DUMMYFUNCTION("""COMPUTED_VALUE"""),"Housing")</f>
        <v>Housing</v>
      </c>
      <c r="F189" s="33" t="str">
        <f>IFERROR(__xludf.DUMMYFUNCTION("""COMPUTED_VALUE"""),"Miscellaneous")</f>
        <v>Miscellaneous</v>
      </c>
      <c r="G189" s="33" t="str">
        <f>IFERROR(__xludf.DUMMYFUNCTION("""COMPUTED_VALUE"""),"Pet")</f>
        <v>Pet</v>
      </c>
      <c r="H189" s="33" t="str">
        <f>IFERROR(__xludf.DUMMYFUNCTION("""COMPUTED_VALUE"""),"Transportation")</f>
        <v>Transportation</v>
      </c>
      <c r="I189" s="33"/>
      <c r="J189" s="33"/>
      <c r="K189" s="33"/>
    </row>
    <row r="190">
      <c r="A190" s="33" t="str">
        <f>IFERROR(__xludf.DUMMYFUNCTION("""COMPUTED_VALUE"""),"Debt")</f>
        <v>Debt</v>
      </c>
      <c r="B190" s="33" t="str">
        <f>IFERROR(__xludf.DUMMYFUNCTION("""COMPUTED_VALUE"""),"Groceries")</f>
        <v>Groceries</v>
      </c>
      <c r="C190" s="33" t="str">
        <f>IFERROR(__xludf.DUMMYFUNCTION("""COMPUTED_VALUE"""),"Healthcare")</f>
        <v>Healthcare</v>
      </c>
      <c r="D190" s="33" t="str">
        <f>IFERROR(__xludf.DUMMYFUNCTION("""COMPUTED_VALUE"""),"Household Items")</f>
        <v>Household Items</v>
      </c>
      <c r="E190" s="33" t="str">
        <f>IFERROR(__xludf.DUMMYFUNCTION("""COMPUTED_VALUE"""),"Housing")</f>
        <v>Housing</v>
      </c>
      <c r="F190" s="33" t="str">
        <f>IFERROR(__xludf.DUMMYFUNCTION("""COMPUTED_VALUE"""),"Miscellaneous")</f>
        <v>Miscellaneous</v>
      </c>
      <c r="G190" s="33" t="str">
        <f>IFERROR(__xludf.DUMMYFUNCTION("""COMPUTED_VALUE"""),"Pet")</f>
        <v>Pet</v>
      </c>
      <c r="H190" s="33" t="str">
        <f>IFERROR(__xludf.DUMMYFUNCTION("""COMPUTED_VALUE"""),"Transportation")</f>
        <v>Transportation</v>
      </c>
      <c r="I190" s="33"/>
      <c r="J190" s="33"/>
      <c r="K190" s="33"/>
    </row>
    <row r="191">
      <c r="A191" s="33" t="str">
        <f>IFERROR(__xludf.DUMMYFUNCTION("""COMPUTED_VALUE"""),"Debt")</f>
        <v>Debt</v>
      </c>
      <c r="B191" s="33" t="str">
        <f>IFERROR(__xludf.DUMMYFUNCTION("""COMPUTED_VALUE"""),"Groceries")</f>
        <v>Groceries</v>
      </c>
      <c r="C191" s="33" t="str">
        <f>IFERROR(__xludf.DUMMYFUNCTION("""COMPUTED_VALUE"""),"Healthcare")</f>
        <v>Healthcare</v>
      </c>
      <c r="D191" s="33" t="str">
        <f>IFERROR(__xludf.DUMMYFUNCTION("""COMPUTED_VALUE"""),"Household Items")</f>
        <v>Household Items</v>
      </c>
      <c r="E191" s="33" t="str">
        <f>IFERROR(__xludf.DUMMYFUNCTION("""COMPUTED_VALUE"""),"Housing")</f>
        <v>Housing</v>
      </c>
      <c r="F191" s="33" t="str">
        <f>IFERROR(__xludf.DUMMYFUNCTION("""COMPUTED_VALUE"""),"Miscellaneous")</f>
        <v>Miscellaneous</v>
      </c>
      <c r="G191" s="33" t="str">
        <f>IFERROR(__xludf.DUMMYFUNCTION("""COMPUTED_VALUE"""),"Pet")</f>
        <v>Pet</v>
      </c>
      <c r="H191" s="33" t="str">
        <f>IFERROR(__xludf.DUMMYFUNCTION("""COMPUTED_VALUE"""),"Transportation")</f>
        <v>Transportation</v>
      </c>
      <c r="I191" s="33"/>
      <c r="J191" s="33"/>
      <c r="K191" s="33"/>
    </row>
    <row r="192">
      <c r="A192" s="33" t="str">
        <f>IFERROR(__xludf.DUMMYFUNCTION("""COMPUTED_VALUE"""),"Debt")</f>
        <v>Debt</v>
      </c>
      <c r="B192" s="33" t="str">
        <f>IFERROR(__xludf.DUMMYFUNCTION("""COMPUTED_VALUE"""),"Groceries")</f>
        <v>Groceries</v>
      </c>
      <c r="C192" s="33" t="str">
        <f>IFERROR(__xludf.DUMMYFUNCTION("""COMPUTED_VALUE"""),"Healthcare")</f>
        <v>Healthcare</v>
      </c>
      <c r="D192" s="33" t="str">
        <f>IFERROR(__xludf.DUMMYFUNCTION("""COMPUTED_VALUE"""),"Household Items")</f>
        <v>Household Items</v>
      </c>
      <c r="E192" s="33" t="str">
        <f>IFERROR(__xludf.DUMMYFUNCTION("""COMPUTED_VALUE"""),"Housing")</f>
        <v>Housing</v>
      </c>
      <c r="F192" s="33" t="str">
        <f>IFERROR(__xludf.DUMMYFUNCTION("""COMPUTED_VALUE"""),"Miscellaneous")</f>
        <v>Miscellaneous</v>
      </c>
      <c r="G192" s="33" t="str">
        <f>IFERROR(__xludf.DUMMYFUNCTION("""COMPUTED_VALUE"""),"Pet")</f>
        <v>Pet</v>
      </c>
      <c r="H192" s="33" t="str">
        <f>IFERROR(__xludf.DUMMYFUNCTION("""COMPUTED_VALUE"""),"Transportation")</f>
        <v>Transportation</v>
      </c>
      <c r="I192" s="33"/>
      <c r="J192" s="33"/>
      <c r="K192" s="33"/>
    </row>
    <row r="193">
      <c r="A193" s="33" t="str">
        <f>IFERROR(__xludf.DUMMYFUNCTION("""COMPUTED_VALUE"""),"Debt")</f>
        <v>Debt</v>
      </c>
      <c r="B193" s="33" t="str">
        <f>IFERROR(__xludf.DUMMYFUNCTION("""COMPUTED_VALUE"""),"Groceries")</f>
        <v>Groceries</v>
      </c>
      <c r="C193" s="33" t="str">
        <f>IFERROR(__xludf.DUMMYFUNCTION("""COMPUTED_VALUE"""),"Healthcare")</f>
        <v>Healthcare</v>
      </c>
      <c r="D193" s="33" t="str">
        <f>IFERROR(__xludf.DUMMYFUNCTION("""COMPUTED_VALUE"""),"Household Items")</f>
        <v>Household Items</v>
      </c>
      <c r="E193" s="33" t="str">
        <f>IFERROR(__xludf.DUMMYFUNCTION("""COMPUTED_VALUE"""),"Housing")</f>
        <v>Housing</v>
      </c>
      <c r="F193" s="33" t="str">
        <f>IFERROR(__xludf.DUMMYFUNCTION("""COMPUTED_VALUE"""),"Miscellaneous")</f>
        <v>Miscellaneous</v>
      </c>
      <c r="G193" s="33" t="str">
        <f>IFERROR(__xludf.DUMMYFUNCTION("""COMPUTED_VALUE"""),"Pet")</f>
        <v>Pet</v>
      </c>
      <c r="H193" s="33" t="str">
        <f>IFERROR(__xludf.DUMMYFUNCTION("""COMPUTED_VALUE"""),"Transportation")</f>
        <v>Transportation</v>
      </c>
      <c r="I193" s="33"/>
      <c r="J193" s="33"/>
      <c r="K193" s="33"/>
    </row>
    <row r="194">
      <c r="A194" s="33" t="str">
        <f>IFERROR(__xludf.DUMMYFUNCTION("""COMPUTED_VALUE"""),"Debt")</f>
        <v>Debt</v>
      </c>
      <c r="B194" s="33" t="str">
        <f>IFERROR(__xludf.DUMMYFUNCTION("""COMPUTED_VALUE"""),"Groceries")</f>
        <v>Groceries</v>
      </c>
      <c r="C194" s="33" t="str">
        <f>IFERROR(__xludf.DUMMYFUNCTION("""COMPUTED_VALUE"""),"Healthcare")</f>
        <v>Healthcare</v>
      </c>
      <c r="D194" s="33" t="str">
        <f>IFERROR(__xludf.DUMMYFUNCTION("""COMPUTED_VALUE"""),"Household Items")</f>
        <v>Household Items</v>
      </c>
      <c r="E194" s="33" t="str">
        <f>IFERROR(__xludf.DUMMYFUNCTION("""COMPUTED_VALUE"""),"Housing")</f>
        <v>Housing</v>
      </c>
      <c r="F194" s="33" t="str">
        <f>IFERROR(__xludf.DUMMYFUNCTION("""COMPUTED_VALUE"""),"Miscellaneous")</f>
        <v>Miscellaneous</v>
      </c>
      <c r="G194" s="33" t="str">
        <f>IFERROR(__xludf.DUMMYFUNCTION("""COMPUTED_VALUE"""),"Pet")</f>
        <v>Pet</v>
      </c>
      <c r="H194" s="33" t="str">
        <f>IFERROR(__xludf.DUMMYFUNCTION("""COMPUTED_VALUE"""),"Transportation")</f>
        <v>Transportation</v>
      </c>
      <c r="I194" s="33"/>
      <c r="J194" s="33"/>
      <c r="K194" s="33"/>
    </row>
    <row r="195">
      <c r="A195" s="33" t="str">
        <f>IFERROR(__xludf.DUMMYFUNCTION("""COMPUTED_VALUE"""),"Debt")</f>
        <v>Debt</v>
      </c>
      <c r="B195" s="33" t="str">
        <f>IFERROR(__xludf.DUMMYFUNCTION("""COMPUTED_VALUE"""),"Groceries")</f>
        <v>Groceries</v>
      </c>
      <c r="C195" s="33" t="str">
        <f>IFERROR(__xludf.DUMMYFUNCTION("""COMPUTED_VALUE"""),"Healthcare")</f>
        <v>Healthcare</v>
      </c>
      <c r="D195" s="33" t="str">
        <f>IFERROR(__xludf.DUMMYFUNCTION("""COMPUTED_VALUE"""),"Household Items")</f>
        <v>Household Items</v>
      </c>
      <c r="E195" s="33" t="str">
        <f>IFERROR(__xludf.DUMMYFUNCTION("""COMPUTED_VALUE"""),"Housing")</f>
        <v>Housing</v>
      </c>
      <c r="F195" s="33" t="str">
        <f>IFERROR(__xludf.DUMMYFUNCTION("""COMPUTED_VALUE"""),"Miscellaneous")</f>
        <v>Miscellaneous</v>
      </c>
      <c r="G195" s="33" t="str">
        <f>IFERROR(__xludf.DUMMYFUNCTION("""COMPUTED_VALUE"""),"Pet")</f>
        <v>Pet</v>
      </c>
      <c r="H195" s="33" t="str">
        <f>IFERROR(__xludf.DUMMYFUNCTION("""COMPUTED_VALUE"""),"Transportation")</f>
        <v>Transportation</v>
      </c>
      <c r="I195" s="33"/>
      <c r="J195" s="33"/>
      <c r="K195" s="33"/>
    </row>
    <row r="196">
      <c r="A196" s="33" t="str">
        <f>IFERROR(__xludf.DUMMYFUNCTION("""COMPUTED_VALUE"""),"Deposit")</f>
        <v>Deposit</v>
      </c>
      <c r="B196" s="33" t="str">
        <f>IFERROR(__xludf.DUMMYFUNCTION("""COMPUTED_VALUE"""),"Withdrawal")</f>
        <v>Withdrawal</v>
      </c>
      <c r="C196" s="33"/>
      <c r="D196" s="33"/>
      <c r="E196" s="33"/>
      <c r="F196" s="33"/>
      <c r="G196" s="33"/>
      <c r="H196" s="33"/>
      <c r="I196" s="33"/>
      <c r="J196" s="33"/>
      <c r="K196" s="33"/>
    </row>
    <row r="197">
      <c r="A197" s="33" t="str">
        <f>IFERROR(__xludf.DUMMYFUNCTION("""COMPUTED_VALUE"""),"Deposit")</f>
        <v>Deposit</v>
      </c>
      <c r="B197" s="33" t="str">
        <f>IFERROR(__xludf.DUMMYFUNCTION("""COMPUTED_VALUE"""),"Withdrawal")</f>
        <v>Withdrawal</v>
      </c>
      <c r="C197" s="33"/>
      <c r="D197" s="33"/>
      <c r="E197" s="33"/>
      <c r="F197" s="33"/>
      <c r="G197" s="33"/>
      <c r="H197" s="33"/>
      <c r="I197" s="33"/>
      <c r="J197" s="33"/>
      <c r="K197" s="33"/>
    </row>
    <row r="198">
      <c r="A198" s="33" t="str">
        <f>IFERROR(__xludf.DUMMYFUNCTION("""COMPUTED_VALUE"""),"FHSA")</f>
        <v>FHSA</v>
      </c>
      <c r="B198" s="33" t="str">
        <f>IFERROR(__xludf.DUMMYFUNCTION("""COMPUTED_VALUE"""),"RRSP")</f>
        <v>RRSP</v>
      </c>
      <c r="C198" s="33" t="str">
        <f>IFERROR(__xludf.DUMMYFUNCTION("""COMPUTED_VALUE"""),"TFSA")</f>
        <v>TFSA</v>
      </c>
      <c r="D198" s="33"/>
      <c r="E198" s="33"/>
      <c r="F198" s="33"/>
      <c r="G198" s="33"/>
      <c r="H198" s="33"/>
      <c r="I198" s="33"/>
      <c r="J198" s="33"/>
      <c r="K198" s="33"/>
    </row>
    <row r="199">
      <c r="A199" s="33" t="str">
        <f>IFERROR(__xludf.DUMMYFUNCTION("""COMPUTED_VALUE"""),"Deposit")</f>
        <v>Deposit</v>
      </c>
      <c r="B199" s="33" t="str">
        <f>IFERROR(__xludf.DUMMYFUNCTION("""COMPUTED_VALUE"""),"Withdrawal")</f>
        <v>Withdrawal</v>
      </c>
      <c r="C199" s="33"/>
      <c r="D199" s="33"/>
      <c r="E199" s="33"/>
      <c r="F199" s="33"/>
      <c r="G199" s="33"/>
      <c r="H199" s="33"/>
      <c r="I199" s="33"/>
      <c r="J199" s="33"/>
      <c r="K199" s="33"/>
    </row>
    <row r="200">
      <c r="A200" s="33" t="str">
        <f>IFERROR(__xludf.DUMMYFUNCTION("""COMPUTED_VALUE"""),"FHSA")</f>
        <v>FHSA</v>
      </c>
      <c r="B200" s="33" t="str">
        <f>IFERROR(__xludf.DUMMYFUNCTION("""COMPUTED_VALUE"""),"RRSP")</f>
        <v>RRSP</v>
      </c>
      <c r="C200" s="33" t="str">
        <f>IFERROR(__xludf.DUMMYFUNCTION("""COMPUTED_VALUE"""),"TFSA")</f>
        <v>TFSA</v>
      </c>
      <c r="D200" s="33"/>
      <c r="E200" s="33"/>
      <c r="F200" s="33"/>
      <c r="G200" s="33"/>
      <c r="H200" s="33"/>
      <c r="I200" s="33"/>
      <c r="J200" s="33"/>
      <c r="K200" s="33"/>
    </row>
    <row r="201">
      <c r="A201" s="33" t="str">
        <f>IFERROR(__xludf.DUMMYFUNCTION("""COMPUTED_VALUE"""),"Deposit")</f>
        <v>Deposit</v>
      </c>
      <c r="B201" s="33" t="str">
        <f>IFERROR(__xludf.DUMMYFUNCTION("""COMPUTED_VALUE"""),"Withdrawal")</f>
        <v>Withdrawal</v>
      </c>
      <c r="C201" s="33"/>
      <c r="D201" s="33"/>
      <c r="E201" s="33"/>
      <c r="F201" s="33"/>
      <c r="G201" s="33"/>
      <c r="H201" s="33"/>
      <c r="I201" s="33"/>
      <c r="J201" s="33"/>
      <c r="K201" s="33"/>
    </row>
    <row r="202">
      <c r="A202" s="33" t="str">
        <f>IFERROR(__xludf.DUMMYFUNCTION("""COMPUTED_VALUE"""),"Cashback")</f>
        <v>Cashback</v>
      </c>
      <c r="B202" s="33" t="str">
        <f>IFERROR(__xludf.DUMMYFUNCTION("""COMPUTED_VALUE"""),"Investment Returns")</f>
        <v>Investment Returns</v>
      </c>
      <c r="C202" s="33" t="str">
        <f>IFERROR(__xludf.DUMMYFUNCTION("""COMPUTED_VALUE"""),"Paycheck")</f>
        <v>Paycheck</v>
      </c>
      <c r="D202" s="33" t="str">
        <f>IFERROR(__xludf.DUMMYFUNCTION("""COMPUTED_VALUE"""),"Reimbursement")</f>
        <v>Reimbursement</v>
      </c>
      <c r="E202" s="33" t="str">
        <f>IFERROR(__xludf.DUMMYFUNCTION("""COMPUTED_VALUE"""),"Rewards")</f>
        <v>Rewards</v>
      </c>
      <c r="F202" s="33"/>
      <c r="G202" s="33"/>
      <c r="H202" s="33"/>
      <c r="I202" s="33"/>
      <c r="J202" s="33"/>
      <c r="K202" s="33"/>
    </row>
    <row r="203">
      <c r="A203" s="33" t="str">
        <f>IFERROR(__xludf.DUMMYFUNCTION("""COMPUTED_VALUE"""),"Cashback")</f>
        <v>Cashback</v>
      </c>
      <c r="B203" s="33" t="str">
        <f>IFERROR(__xludf.DUMMYFUNCTION("""COMPUTED_VALUE"""),"Investment Returns")</f>
        <v>Investment Returns</v>
      </c>
      <c r="C203" s="33" t="str">
        <f>IFERROR(__xludf.DUMMYFUNCTION("""COMPUTED_VALUE"""),"Paycheck")</f>
        <v>Paycheck</v>
      </c>
      <c r="D203" s="33" t="str">
        <f>IFERROR(__xludf.DUMMYFUNCTION("""COMPUTED_VALUE"""),"Reimbursement")</f>
        <v>Reimbursement</v>
      </c>
      <c r="E203" s="33" t="str">
        <f>IFERROR(__xludf.DUMMYFUNCTION("""COMPUTED_VALUE"""),"Rewards")</f>
        <v>Rewards</v>
      </c>
      <c r="F203" s="33"/>
      <c r="G203" s="33"/>
      <c r="H203" s="33"/>
      <c r="I203" s="33"/>
      <c r="J203" s="33"/>
      <c r="K203" s="33"/>
    </row>
    <row r="204">
      <c r="A204" s="33" t="str">
        <f>IFERROR(__xludf.DUMMYFUNCTION("""COMPUTED_VALUE"""),"Debt")</f>
        <v>Debt</v>
      </c>
      <c r="B204" s="33" t="str">
        <f>IFERROR(__xludf.DUMMYFUNCTION("""COMPUTED_VALUE"""),"Groceries")</f>
        <v>Groceries</v>
      </c>
      <c r="C204" s="33" t="str">
        <f>IFERROR(__xludf.DUMMYFUNCTION("""COMPUTED_VALUE"""),"Healthcare")</f>
        <v>Healthcare</v>
      </c>
      <c r="D204" s="33" t="str">
        <f>IFERROR(__xludf.DUMMYFUNCTION("""COMPUTED_VALUE"""),"Household Items")</f>
        <v>Household Items</v>
      </c>
      <c r="E204" s="33" t="str">
        <f>IFERROR(__xludf.DUMMYFUNCTION("""COMPUTED_VALUE"""),"Housing")</f>
        <v>Housing</v>
      </c>
      <c r="F204" s="33" t="str">
        <f>IFERROR(__xludf.DUMMYFUNCTION("""COMPUTED_VALUE"""),"Miscellaneous")</f>
        <v>Miscellaneous</v>
      </c>
      <c r="G204" s="33" t="str">
        <f>IFERROR(__xludf.DUMMYFUNCTION("""COMPUTED_VALUE"""),"Pet")</f>
        <v>Pet</v>
      </c>
      <c r="H204" s="33" t="str">
        <f>IFERROR(__xludf.DUMMYFUNCTION("""COMPUTED_VALUE"""),"Transportation")</f>
        <v>Transportation</v>
      </c>
      <c r="I204" s="33"/>
      <c r="J204" s="33"/>
      <c r="K204" s="33"/>
    </row>
    <row r="205">
      <c r="A205" s="33" t="str">
        <f>IFERROR(__xludf.DUMMYFUNCTION("""COMPUTED_VALUE"""),"Debt")</f>
        <v>Debt</v>
      </c>
      <c r="B205" s="33" t="str">
        <f>IFERROR(__xludf.DUMMYFUNCTION("""COMPUTED_VALUE"""),"Groceries")</f>
        <v>Groceries</v>
      </c>
      <c r="C205" s="33" t="str">
        <f>IFERROR(__xludf.DUMMYFUNCTION("""COMPUTED_VALUE"""),"Healthcare")</f>
        <v>Healthcare</v>
      </c>
      <c r="D205" s="33" t="str">
        <f>IFERROR(__xludf.DUMMYFUNCTION("""COMPUTED_VALUE"""),"Household Items")</f>
        <v>Household Items</v>
      </c>
      <c r="E205" s="33" t="str">
        <f>IFERROR(__xludf.DUMMYFUNCTION("""COMPUTED_VALUE"""),"Housing")</f>
        <v>Housing</v>
      </c>
      <c r="F205" s="33" t="str">
        <f>IFERROR(__xludf.DUMMYFUNCTION("""COMPUTED_VALUE"""),"Miscellaneous")</f>
        <v>Miscellaneous</v>
      </c>
      <c r="G205" s="33" t="str">
        <f>IFERROR(__xludf.DUMMYFUNCTION("""COMPUTED_VALUE"""),"Pet")</f>
        <v>Pet</v>
      </c>
      <c r="H205" s="33" t="str">
        <f>IFERROR(__xludf.DUMMYFUNCTION("""COMPUTED_VALUE"""),"Transportation")</f>
        <v>Transportation</v>
      </c>
      <c r="I205" s="33"/>
      <c r="J205" s="33"/>
      <c r="K205" s="33"/>
    </row>
    <row r="206">
      <c r="A206" s="33" t="str">
        <f>IFERROR(__xludf.DUMMYFUNCTION("""COMPUTED_VALUE"""),"Debt")</f>
        <v>Debt</v>
      </c>
      <c r="B206" s="33" t="str">
        <f>IFERROR(__xludf.DUMMYFUNCTION("""COMPUTED_VALUE"""),"Groceries")</f>
        <v>Groceries</v>
      </c>
      <c r="C206" s="33" t="str">
        <f>IFERROR(__xludf.DUMMYFUNCTION("""COMPUTED_VALUE"""),"Healthcare")</f>
        <v>Healthcare</v>
      </c>
      <c r="D206" s="33" t="str">
        <f>IFERROR(__xludf.DUMMYFUNCTION("""COMPUTED_VALUE"""),"Household Items")</f>
        <v>Household Items</v>
      </c>
      <c r="E206" s="33" t="str">
        <f>IFERROR(__xludf.DUMMYFUNCTION("""COMPUTED_VALUE"""),"Housing")</f>
        <v>Housing</v>
      </c>
      <c r="F206" s="33" t="str">
        <f>IFERROR(__xludf.DUMMYFUNCTION("""COMPUTED_VALUE"""),"Miscellaneous")</f>
        <v>Miscellaneous</v>
      </c>
      <c r="G206" s="33" t="str">
        <f>IFERROR(__xludf.DUMMYFUNCTION("""COMPUTED_VALUE"""),"Pet")</f>
        <v>Pet</v>
      </c>
      <c r="H206" s="33" t="str">
        <f>IFERROR(__xludf.DUMMYFUNCTION("""COMPUTED_VALUE"""),"Transportation")</f>
        <v>Transportation</v>
      </c>
      <c r="I206" s="33"/>
      <c r="J206" s="33"/>
      <c r="K206" s="33"/>
    </row>
    <row r="207">
      <c r="A207" s="33" t="str">
        <f>IFERROR(__xludf.DUMMYFUNCTION("""COMPUTED_VALUE"""),"Debt")</f>
        <v>Debt</v>
      </c>
      <c r="B207" s="33" t="str">
        <f>IFERROR(__xludf.DUMMYFUNCTION("""COMPUTED_VALUE"""),"Groceries")</f>
        <v>Groceries</v>
      </c>
      <c r="C207" s="33" t="str">
        <f>IFERROR(__xludf.DUMMYFUNCTION("""COMPUTED_VALUE"""),"Healthcare")</f>
        <v>Healthcare</v>
      </c>
      <c r="D207" s="33" t="str">
        <f>IFERROR(__xludf.DUMMYFUNCTION("""COMPUTED_VALUE"""),"Household Items")</f>
        <v>Household Items</v>
      </c>
      <c r="E207" s="33" t="str">
        <f>IFERROR(__xludf.DUMMYFUNCTION("""COMPUTED_VALUE"""),"Housing")</f>
        <v>Housing</v>
      </c>
      <c r="F207" s="33" t="str">
        <f>IFERROR(__xludf.DUMMYFUNCTION("""COMPUTED_VALUE"""),"Miscellaneous")</f>
        <v>Miscellaneous</v>
      </c>
      <c r="G207" s="33" t="str">
        <f>IFERROR(__xludf.DUMMYFUNCTION("""COMPUTED_VALUE"""),"Pet")</f>
        <v>Pet</v>
      </c>
      <c r="H207" s="33" t="str">
        <f>IFERROR(__xludf.DUMMYFUNCTION("""COMPUTED_VALUE"""),"Transportation")</f>
        <v>Transportation</v>
      </c>
      <c r="I207" s="33"/>
      <c r="J207" s="33"/>
      <c r="K207" s="33"/>
    </row>
    <row r="208">
      <c r="A208" s="33" t="str">
        <f>IFERROR(__xludf.DUMMYFUNCTION("""COMPUTED_VALUE"""),"Debt")</f>
        <v>Debt</v>
      </c>
      <c r="B208" s="33" t="str">
        <f>IFERROR(__xludf.DUMMYFUNCTION("""COMPUTED_VALUE"""),"Groceries")</f>
        <v>Groceries</v>
      </c>
      <c r="C208" s="33" t="str">
        <f>IFERROR(__xludf.DUMMYFUNCTION("""COMPUTED_VALUE"""),"Healthcare")</f>
        <v>Healthcare</v>
      </c>
      <c r="D208" s="33" t="str">
        <f>IFERROR(__xludf.DUMMYFUNCTION("""COMPUTED_VALUE"""),"Household Items")</f>
        <v>Household Items</v>
      </c>
      <c r="E208" s="33" t="str">
        <f>IFERROR(__xludf.DUMMYFUNCTION("""COMPUTED_VALUE"""),"Housing")</f>
        <v>Housing</v>
      </c>
      <c r="F208" s="33" t="str">
        <f>IFERROR(__xludf.DUMMYFUNCTION("""COMPUTED_VALUE"""),"Miscellaneous")</f>
        <v>Miscellaneous</v>
      </c>
      <c r="G208" s="33" t="str">
        <f>IFERROR(__xludf.DUMMYFUNCTION("""COMPUTED_VALUE"""),"Pet")</f>
        <v>Pet</v>
      </c>
      <c r="H208" s="33" t="str">
        <f>IFERROR(__xludf.DUMMYFUNCTION("""COMPUTED_VALUE"""),"Transportation")</f>
        <v>Transportation</v>
      </c>
      <c r="I208" s="33"/>
      <c r="J208" s="33"/>
      <c r="K208" s="33"/>
    </row>
    <row r="209">
      <c r="A209" s="33" t="str">
        <f>IFERROR(__xludf.DUMMYFUNCTION("""COMPUTED_VALUE"""),"Debt")</f>
        <v>Debt</v>
      </c>
      <c r="B209" s="33" t="str">
        <f>IFERROR(__xludf.DUMMYFUNCTION("""COMPUTED_VALUE"""),"Groceries")</f>
        <v>Groceries</v>
      </c>
      <c r="C209" s="33" t="str">
        <f>IFERROR(__xludf.DUMMYFUNCTION("""COMPUTED_VALUE"""),"Healthcare")</f>
        <v>Healthcare</v>
      </c>
      <c r="D209" s="33" t="str">
        <f>IFERROR(__xludf.DUMMYFUNCTION("""COMPUTED_VALUE"""),"Household Items")</f>
        <v>Household Items</v>
      </c>
      <c r="E209" s="33" t="str">
        <f>IFERROR(__xludf.DUMMYFUNCTION("""COMPUTED_VALUE"""),"Housing")</f>
        <v>Housing</v>
      </c>
      <c r="F209" s="33" t="str">
        <f>IFERROR(__xludf.DUMMYFUNCTION("""COMPUTED_VALUE"""),"Miscellaneous")</f>
        <v>Miscellaneous</v>
      </c>
      <c r="G209" s="33" t="str">
        <f>IFERROR(__xludf.DUMMYFUNCTION("""COMPUTED_VALUE"""),"Pet")</f>
        <v>Pet</v>
      </c>
      <c r="H209" s="33" t="str">
        <f>IFERROR(__xludf.DUMMYFUNCTION("""COMPUTED_VALUE"""),"Transportation")</f>
        <v>Transportation</v>
      </c>
      <c r="I209" s="33"/>
      <c r="J209" s="33"/>
      <c r="K209" s="33"/>
    </row>
    <row r="210">
      <c r="A210" s="33" t="str">
        <f>IFERROR(__xludf.DUMMYFUNCTION("""COMPUTED_VALUE"""),"Dining Out")</f>
        <v>Dining Out</v>
      </c>
      <c r="B210" s="33" t="str">
        <f>IFERROR(__xludf.DUMMYFUNCTION("""COMPUTED_VALUE"""),"Entertainment")</f>
        <v>Entertainment</v>
      </c>
      <c r="C210" s="33" t="str">
        <f>IFERROR(__xludf.DUMMYFUNCTION("""COMPUTED_VALUE"""),"Gaming")</f>
        <v>Gaming</v>
      </c>
      <c r="D210" s="33" t="str">
        <f>IFERROR(__xludf.DUMMYFUNCTION("""COMPUTED_VALUE"""),"Gifts")</f>
        <v>Gifts</v>
      </c>
      <c r="E210" s="33" t="str">
        <f>IFERROR(__xludf.DUMMYFUNCTION("""COMPUTED_VALUE"""),"Groceries")</f>
        <v>Groceries</v>
      </c>
      <c r="F210" s="33" t="str">
        <f>IFERROR(__xludf.DUMMYFUNCTION("""COMPUTED_VALUE"""),"Healthcare")</f>
        <v>Healthcare</v>
      </c>
      <c r="G210" s="33" t="str">
        <f>IFERROR(__xludf.DUMMYFUNCTION("""COMPUTED_VALUE"""),"Hobbies")</f>
        <v>Hobbies</v>
      </c>
      <c r="H210" s="33" t="str">
        <f>IFERROR(__xludf.DUMMYFUNCTION("""COMPUTED_VALUE"""),"Household Items")</f>
        <v>Household Items</v>
      </c>
      <c r="I210" s="33" t="str">
        <f>IFERROR(__xludf.DUMMYFUNCTION("""COMPUTED_VALUE"""),"Subscriptions")</f>
        <v>Subscriptions</v>
      </c>
      <c r="J210" s="33" t="str">
        <f>IFERROR(__xludf.DUMMYFUNCTION("""COMPUTED_VALUE"""),"Transportation")</f>
        <v>Transportation</v>
      </c>
      <c r="K210" s="33" t="str">
        <f>IFERROR(__xludf.DUMMYFUNCTION("""COMPUTED_VALUE"""),"Travel")</f>
        <v>Travel</v>
      </c>
    </row>
    <row r="211">
      <c r="A211" s="33" t="str">
        <f>IFERROR(__xludf.DUMMYFUNCTION("""COMPUTED_VALUE"""),"Debt")</f>
        <v>Debt</v>
      </c>
      <c r="B211" s="33" t="str">
        <f>IFERROR(__xludf.DUMMYFUNCTION("""COMPUTED_VALUE"""),"Groceries")</f>
        <v>Groceries</v>
      </c>
      <c r="C211" s="33" t="str">
        <f>IFERROR(__xludf.DUMMYFUNCTION("""COMPUTED_VALUE"""),"Healthcare")</f>
        <v>Healthcare</v>
      </c>
      <c r="D211" s="33" t="str">
        <f>IFERROR(__xludf.DUMMYFUNCTION("""COMPUTED_VALUE"""),"Household Items")</f>
        <v>Household Items</v>
      </c>
      <c r="E211" s="33" t="str">
        <f>IFERROR(__xludf.DUMMYFUNCTION("""COMPUTED_VALUE"""),"Housing")</f>
        <v>Housing</v>
      </c>
      <c r="F211" s="33" t="str">
        <f>IFERROR(__xludf.DUMMYFUNCTION("""COMPUTED_VALUE"""),"Miscellaneous")</f>
        <v>Miscellaneous</v>
      </c>
      <c r="G211" s="33" t="str">
        <f>IFERROR(__xludf.DUMMYFUNCTION("""COMPUTED_VALUE"""),"Pet")</f>
        <v>Pet</v>
      </c>
      <c r="H211" s="33" t="str">
        <f>IFERROR(__xludf.DUMMYFUNCTION("""COMPUTED_VALUE"""),"Transportation")</f>
        <v>Transportation</v>
      </c>
      <c r="I211" s="33"/>
      <c r="J211" s="33"/>
      <c r="K211" s="33"/>
    </row>
    <row r="212">
      <c r="A212" s="33" t="str">
        <f>IFERROR(__xludf.DUMMYFUNCTION("""COMPUTED_VALUE"""),"Debt")</f>
        <v>Debt</v>
      </c>
      <c r="B212" s="33" t="str">
        <f>IFERROR(__xludf.DUMMYFUNCTION("""COMPUTED_VALUE"""),"Groceries")</f>
        <v>Groceries</v>
      </c>
      <c r="C212" s="33" t="str">
        <f>IFERROR(__xludf.DUMMYFUNCTION("""COMPUTED_VALUE"""),"Healthcare")</f>
        <v>Healthcare</v>
      </c>
      <c r="D212" s="33" t="str">
        <f>IFERROR(__xludf.DUMMYFUNCTION("""COMPUTED_VALUE"""),"Household Items")</f>
        <v>Household Items</v>
      </c>
      <c r="E212" s="33" t="str">
        <f>IFERROR(__xludf.DUMMYFUNCTION("""COMPUTED_VALUE"""),"Housing")</f>
        <v>Housing</v>
      </c>
      <c r="F212" s="33" t="str">
        <f>IFERROR(__xludf.DUMMYFUNCTION("""COMPUTED_VALUE"""),"Miscellaneous")</f>
        <v>Miscellaneous</v>
      </c>
      <c r="G212" s="33" t="str">
        <f>IFERROR(__xludf.DUMMYFUNCTION("""COMPUTED_VALUE"""),"Pet")</f>
        <v>Pet</v>
      </c>
      <c r="H212" s="33" t="str">
        <f>IFERROR(__xludf.DUMMYFUNCTION("""COMPUTED_VALUE"""),"Transportation")</f>
        <v>Transportation</v>
      </c>
      <c r="I212" s="33"/>
      <c r="J212" s="33"/>
      <c r="K212" s="33"/>
    </row>
    <row r="213">
      <c r="A213" s="33" t="str">
        <f>IFERROR(__xludf.DUMMYFUNCTION("""COMPUTED_VALUE"""),"Debt")</f>
        <v>Debt</v>
      </c>
      <c r="B213" s="33" t="str">
        <f>IFERROR(__xludf.DUMMYFUNCTION("""COMPUTED_VALUE"""),"Groceries")</f>
        <v>Groceries</v>
      </c>
      <c r="C213" s="33" t="str">
        <f>IFERROR(__xludf.DUMMYFUNCTION("""COMPUTED_VALUE"""),"Healthcare")</f>
        <v>Healthcare</v>
      </c>
      <c r="D213" s="33" t="str">
        <f>IFERROR(__xludf.DUMMYFUNCTION("""COMPUTED_VALUE"""),"Household Items")</f>
        <v>Household Items</v>
      </c>
      <c r="E213" s="33" t="str">
        <f>IFERROR(__xludf.DUMMYFUNCTION("""COMPUTED_VALUE"""),"Housing")</f>
        <v>Housing</v>
      </c>
      <c r="F213" s="33" t="str">
        <f>IFERROR(__xludf.DUMMYFUNCTION("""COMPUTED_VALUE"""),"Miscellaneous")</f>
        <v>Miscellaneous</v>
      </c>
      <c r="G213" s="33" t="str">
        <f>IFERROR(__xludf.DUMMYFUNCTION("""COMPUTED_VALUE"""),"Pet")</f>
        <v>Pet</v>
      </c>
      <c r="H213" s="33" t="str">
        <f>IFERROR(__xludf.DUMMYFUNCTION("""COMPUTED_VALUE"""),"Transportation")</f>
        <v>Transportation</v>
      </c>
      <c r="I213" s="33"/>
      <c r="J213" s="33"/>
      <c r="K213" s="33"/>
    </row>
    <row r="214">
      <c r="A214" s="33" t="str">
        <f>IFERROR(__xludf.DUMMYFUNCTION("""COMPUTED_VALUE"""),"Debt")</f>
        <v>Debt</v>
      </c>
      <c r="B214" s="33" t="str">
        <f>IFERROR(__xludf.DUMMYFUNCTION("""COMPUTED_VALUE"""),"Groceries")</f>
        <v>Groceries</v>
      </c>
      <c r="C214" s="33" t="str">
        <f>IFERROR(__xludf.DUMMYFUNCTION("""COMPUTED_VALUE"""),"Healthcare")</f>
        <v>Healthcare</v>
      </c>
      <c r="D214" s="33" t="str">
        <f>IFERROR(__xludf.DUMMYFUNCTION("""COMPUTED_VALUE"""),"Household Items")</f>
        <v>Household Items</v>
      </c>
      <c r="E214" s="33" t="str">
        <f>IFERROR(__xludf.DUMMYFUNCTION("""COMPUTED_VALUE"""),"Housing")</f>
        <v>Housing</v>
      </c>
      <c r="F214" s="33" t="str">
        <f>IFERROR(__xludf.DUMMYFUNCTION("""COMPUTED_VALUE"""),"Miscellaneous")</f>
        <v>Miscellaneous</v>
      </c>
      <c r="G214" s="33" t="str">
        <f>IFERROR(__xludf.DUMMYFUNCTION("""COMPUTED_VALUE"""),"Pet")</f>
        <v>Pet</v>
      </c>
      <c r="H214" s="33" t="str">
        <f>IFERROR(__xludf.DUMMYFUNCTION("""COMPUTED_VALUE"""),"Transportation")</f>
        <v>Transportation</v>
      </c>
      <c r="I214" s="33"/>
      <c r="J214" s="33"/>
      <c r="K214" s="33"/>
    </row>
    <row r="215">
      <c r="A215" s="33" t="str">
        <f>IFERROR(__xludf.DUMMYFUNCTION("""COMPUTED_VALUE"""),"Debt")</f>
        <v>Debt</v>
      </c>
      <c r="B215" s="33" t="str">
        <f>IFERROR(__xludf.DUMMYFUNCTION("""COMPUTED_VALUE"""),"Groceries")</f>
        <v>Groceries</v>
      </c>
      <c r="C215" s="33" t="str">
        <f>IFERROR(__xludf.DUMMYFUNCTION("""COMPUTED_VALUE"""),"Healthcare")</f>
        <v>Healthcare</v>
      </c>
      <c r="D215" s="33" t="str">
        <f>IFERROR(__xludf.DUMMYFUNCTION("""COMPUTED_VALUE"""),"Household Items")</f>
        <v>Household Items</v>
      </c>
      <c r="E215" s="33" t="str">
        <f>IFERROR(__xludf.DUMMYFUNCTION("""COMPUTED_VALUE"""),"Housing")</f>
        <v>Housing</v>
      </c>
      <c r="F215" s="33" t="str">
        <f>IFERROR(__xludf.DUMMYFUNCTION("""COMPUTED_VALUE"""),"Miscellaneous")</f>
        <v>Miscellaneous</v>
      </c>
      <c r="G215" s="33" t="str">
        <f>IFERROR(__xludf.DUMMYFUNCTION("""COMPUTED_VALUE"""),"Pet")</f>
        <v>Pet</v>
      </c>
      <c r="H215" s="33" t="str">
        <f>IFERROR(__xludf.DUMMYFUNCTION("""COMPUTED_VALUE"""),"Transportation")</f>
        <v>Transportation</v>
      </c>
      <c r="I215" s="33"/>
      <c r="J215" s="33"/>
      <c r="K215" s="33"/>
    </row>
    <row r="216">
      <c r="A216" s="33" t="str">
        <f>IFERROR(__xludf.DUMMYFUNCTION("""COMPUTED_VALUE"""),"Cashback")</f>
        <v>Cashback</v>
      </c>
      <c r="B216" s="33" t="str">
        <f>IFERROR(__xludf.DUMMYFUNCTION("""COMPUTED_VALUE"""),"Investment Returns")</f>
        <v>Investment Returns</v>
      </c>
      <c r="C216" s="33" t="str">
        <f>IFERROR(__xludf.DUMMYFUNCTION("""COMPUTED_VALUE"""),"Paycheck")</f>
        <v>Paycheck</v>
      </c>
      <c r="D216" s="33" t="str">
        <f>IFERROR(__xludf.DUMMYFUNCTION("""COMPUTED_VALUE"""),"Reimbursement")</f>
        <v>Reimbursement</v>
      </c>
      <c r="E216" s="33" t="str">
        <f>IFERROR(__xludf.DUMMYFUNCTION("""COMPUTED_VALUE"""),"Rewards")</f>
        <v>Rewards</v>
      </c>
      <c r="F216" s="33"/>
      <c r="G216" s="33"/>
      <c r="H216" s="33"/>
      <c r="I216" s="33"/>
      <c r="J216" s="33"/>
      <c r="K216" s="33"/>
    </row>
    <row r="217">
      <c r="A217" s="33" t="str">
        <f>IFERROR(__xludf.DUMMYFUNCTION("""COMPUTED_VALUE"""),"Cashback")</f>
        <v>Cashback</v>
      </c>
      <c r="B217" s="33" t="str">
        <f>IFERROR(__xludf.DUMMYFUNCTION("""COMPUTED_VALUE"""),"Investment Returns")</f>
        <v>Investment Returns</v>
      </c>
      <c r="C217" s="33" t="str">
        <f>IFERROR(__xludf.DUMMYFUNCTION("""COMPUTED_VALUE"""),"Paycheck")</f>
        <v>Paycheck</v>
      </c>
      <c r="D217" s="33" t="str">
        <f>IFERROR(__xludf.DUMMYFUNCTION("""COMPUTED_VALUE"""),"Reimbursement")</f>
        <v>Reimbursement</v>
      </c>
      <c r="E217" s="33" t="str">
        <f>IFERROR(__xludf.DUMMYFUNCTION("""COMPUTED_VALUE"""),"Rewards")</f>
        <v>Rewards</v>
      </c>
      <c r="F217" s="33"/>
      <c r="G217" s="33"/>
      <c r="H217" s="33"/>
      <c r="I217" s="33"/>
      <c r="J217" s="33"/>
      <c r="K217" s="33"/>
    </row>
    <row r="218">
      <c r="A218" s="33" t="str">
        <f>IFERROR(__xludf.DUMMYFUNCTION("""COMPUTED_VALUE"""),"FHSA")</f>
        <v>FHSA</v>
      </c>
      <c r="B218" s="33" t="str">
        <f>IFERROR(__xludf.DUMMYFUNCTION("""COMPUTED_VALUE"""),"RRSP")</f>
        <v>RRSP</v>
      </c>
      <c r="C218" s="33" t="str">
        <f>IFERROR(__xludf.DUMMYFUNCTION("""COMPUTED_VALUE"""),"TFSA")</f>
        <v>TFSA</v>
      </c>
      <c r="D218" s="33"/>
      <c r="E218" s="33"/>
      <c r="F218" s="33"/>
      <c r="G218" s="33"/>
      <c r="H218" s="33"/>
      <c r="I218" s="33"/>
      <c r="J218" s="33"/>
      <c r="K218" s="33"/>
    </row>
    <row r="219">
      <c r="A219" s="33" t="str">
        <f>IFERROR(__xludf.DUMMYFUNCTION("""COMPUTED_VALUE"""),"Deposit")</f>
        <v>Deposit</v>
      </c>
      <c r="B219" s="33" t="str">
        <f>IFERROR(__xludf.DUMMYFUNCTION("""COMPUTED_VALUE"""),"Withdrawal")</f>
        <v>Withdrawal</v>
      </c>
      <c r="C219" s="33"/>
      <c r="D219" s="33"/>
      <c r="E219" s="33"/>
      <c r="F219" s="33"/>
      <c r="G219" s="33"/>
      <c r="H219" s="33"/>
      <c r="I219" s="33"/>
      <c r="J219" s="33"/>
      <c r="K219" s="33"/>
    </row>
    <row r="220">
      <c r="A220" s="33" t="str">
        <f>IFERROR(__xludf.DUMMYFUNCTION("""COMPUTED_VALUE"""),"FHSA")</f>
        <v>FHSA</v>
      </c>
      <c r="B220" s="33" t="str">
        <f>IFERROR(__xludf.DUMMYFUNCTION("""COMPUTED_VALUE"""),"RRSP")</f>
        <v>RRSP</v>
      </c>
      <c r="C220" s="33" t="str">
        <f>IFERROR(__xludf.DUMMYFUNCTION("""COMPUTED_VALUE"""),"TFSA")</f>
        <v>TFSA</v>
      </c>
      <c r="D220" s="33"/>
      <c r="E220" s="33"/>
      <c r="F220" s="33"/>
      <c r="G220" s="33"/>
      <c r="H220" s="33"/>
      <c r="I220" s="33"/>
      <c r="J220" s="33"/>
      <c r="K220" s="33"/>
    </row>
    <row r="221">
      <c r="A221" s="33" t="str">
        <f>IFERROR(__xludf.DUMMYFUNCTION("""COMPUTED_VALUE"""),"Deposit")</f>
        <v>Deposit</v>
      </c>
      <c r="B221" s="33" t="str">
        <f>IFERROR(__xludf.DUMMYFUNCTION("""COMPUTED_VALUE"""),"Withdrawal")</f>
        <v>Withdrawal</v>
      </c>
      <c r="C221" s="33"/>
      <c r="D221" s="33"/>
      <c r="E221" s="33"/>
      <c r="F221" s="33"/>
      <c r="G221" s="33"/>
      <c r="H221" s="33"/>
      <c r="I221" s="33"/>
      <c r="J221" s="33"/>
      <c r="K221" s="33"/>
    </row>
    <row r="222">
      <c r="A222" s="33" t="str">
        <f>IFERROR(__xludf.DUMMYFUNCTION("""COMPUTED_VALUE"""),"Car Fund")</f>
        <v>Car Fund</v>
      </c>
      <c r="B222" s="33" t="str">
        <f>IFERROR(__xludf.DUMMYFUNCTION("""COMPUTED_VALUE"""),"Emergency Fund")</f>
        <v>Emergency Fund</v>
      </c>
      <c r="C222" s="33" t="str">
        <f>IFERROR(__xludf.DUMMYFUNCTION("""COMPUTED_VALUE"""),"Family Fund")</f>
        <v>Family Fund</v>
      </c>
      <c r="D222" s="33" t="str">
        <f>IFERROR(__xludf.DUMMYFUNCTION("""COMPUTED_VALUE"""),"Kenji Fund")</f>
        <v>Kenji Fund</v>
      </c>
      <c r="E222" s="33" t="str">
        <f>IFERROR(__xludf.DUMMYFUNCTION("""COMPUTED_VALUE"""),"Mei Fund")</f>
        <v>Mei Fund</v>
      </c>
      <c r="F222" s="33" t="str">
        <f>IFERROR(__xludf.DUMMYFUNCTION("""COMPUTED_VALUE"""),"Pet Fund")</f>
        <v>Pet Fund</v>
      </c>
      <c r="G222" s="33" t="str">
        <f>IFERROR(__xludf.DUMMYFUNCTION("""COMPUTED_VALUE"""),"Vacation Fund")</f>
        <v>Vacation Fund</v>
      </c>
      <c r="H222" s="33"/>
      <c r="I222" s="33"/>
      <c r="J222" s="33"/>
      <c r="K222" s="33"/>
    </row>
    <row r="223">
      <c r="A223" s="33" t="str">
        <f>IFERROR(__xludf.DUMMYFUNCTION("""COMPUTED_VALUE"""),"Deposit")</f>
        <v>Deposit</v>
      </c>
      <c r="B223" s="33" t="str">
        <f>IFERROR(__xludf.DUMMYFUNCTION("""COMPUTED_VALUE"""),"Withdrawal")</f>
        <v>Withdrawal</v>
      </c>
      <c r="C223" s="33"/>
      <c r="D223" s="33"/>
      <c r="E223" s="33"/>
      <c r="F223" s="33"/>
      <c r="G223" s="33"/>
      <c r="H223" s="33"/>
      <c r="I223" s="33"/>
      <c r="J223" s="33"/>
      <c r="K223" s="33"/>
    </row>
    <row r="224">
      <c r="A224" s="33" t="str">
        <f>IFERROR(__xludf.DUMMYFUNCTION("""COMPUTED_VALUE"""),"Debt")</f>
        <v>Debt</v>
      </c>
      <c r="B224" s="33" t="str">
        <f>IFERROR(__xludf.DUMMYFUNCTION("""COMPUTED_VALUE"""),"Groceries")</f>
        <v>Groceries</v>
      </c>
      <c r="C224" s="33" t="str">
        <f>IFERROR(__xludf.DUMMYFUNCTION("""COMPUTED_VALUE"""),"Healthcare")</f>
        <v>Healthcare</v>
      </c>
      <c r="D224" s="33" t="str">
        <f>IFERROR(__xludf.DUMMYFUNCTION("""COMPUTED_VALUE"""),"Household Items")</f>
        <v>Household Items</v>
      </c>
      <c r="E224" s="33" t="str">
        <f>IFERROR(__xludf.DUMMYFUNCTION("""COMPUTED_VALUE"""),"Housing")</f>
        <v>Housing</v>
      </c>
      <c r="F224" s="33" t="str">
        <f>IFERROR(__xludf.DUMMYFUNCTION("""COMPUTED_VALUE"""),"Miscellaneous")</f>
        <v>Miscellaneous</v>
      </c>
      <c r="G224" s="33" t="str">
        <f>IFERROR(__xludf.DUMMYFUNCTION("""COMPUTED_VALUE"""),"Pet")</f>
        <v>Pet</v>
      </c>
      <c r="H224" s="33" t="str">
        <f>IFERROR(__xludf.DUMMYFUNCTION("""COMPUTED_VALUE"""),"Transportation")</f>
        <v>Transportation</v>
      </c>
      <c r="I224" s="33"/>
      <c r="J224" s="33"/>
      <c r="K224" s="33"/>
    </row>
    <row r="225">
      <c r="A225" s="33" t="str">
        <f>IFERROR(__xludf.DUMMYFUNCTION("""COMPUTED_VALUE"""),"Debt")</f>
        <v>Debt</v>
      </c>
      <c r="B225" s="33" t="str">
        <f>IFERROR(__xludf.DUMMYFUNCTION("""COMPUTED_VALUE"""),"Groceries")</f>
        <v>Groceries</v>
      </c>
      <c r="C225" s="33" t="str">
        <f>IFERROR(__xludf.DUMMYFUNCTION("""COMPUTED_VALUE"""),"Healthcare")</f>
        <v>Healthcare</v>
      </c>
      <c r="D225" s="33" t="str">
        <f>IFERROR(__xludf.DUMMYFUNCTION("""COMPUTED_VALUE"""),"Household Items")</f>
        <v>Household Items</v>
      </c>
      <c r="E225" s="33" t="str">
        <f>IFERROR(__xludf.DUMMYFUNCTION("""COMPUTED_VALUE"""),"Housing")</f>
        <v>Housing</v>
      </c>
      <c r="F225" s="33" t="str">
        <f>IFERROR(__xludf.DUMMYFUNCTION("""COMPUTED_VALUE"""),"Miscellaneous")</f>
        <v>Miscellaneous</v>
      </c>
      <c r="G225" s="33" t="str">
        <f>IFERROR(__xludf.DUMMYFUNCTION("""COMPUTED_VALUE"""),"Pet")</f>
        <v>Pet</v>
      </c>
      <c r="H225" s="33" t="str">
        <f>IFERROR(__xludf.DUMMYFUNCTION("""COMPUTED_VALUE"""),"Transportation")</f>
        <v>Transportation</v>
      </c>
      <c r="I225" s="33"/>
      <c r="J225" s="33"/>
      <c r="K225" s="33"/>
    </row>
    <row r="226">
      <c r="A226" s="33" t="str">
        <f>IFERROR(__xludf.DUMMYFUNCTION("""COMPUTED_VALUE"""),"Debt")</f>
        <v>Debt</v>
      </c>
      <c r="B226" s="33" t="str">
        <f>IFERROR(__xludf.DUMMYFUNCTION("""COMPUTED_VALUE"""),"Groceries")</f>
        <v>Groceries</v>
      </c>
      <c r="C226" s="33" t="str">
        <f>IFERROR(__xludf.DUMMYFUNCTION("""COMPUTED_VALUE"""),"Healthcare")</f>
        <v>Healthcare</v>
      </c>
      <c r="D226" s="33" t="str">
        <f>IFERROR(__xludf.DUMMYFUNCTION("""COMPUTED_VALUE"""),"Household Items")</f>
        <v>Household Items</v>
      </c>
      <c r="E226" s="33" t="str">
        <f>IFERROR(__xludf.DUMMYFUNCTION("""COMPUTED_VALUE"""),"Housing")</f>
        <v>Housing</v>
      </c>
      <c r="F226" s="33" t="str">
        <f>IFERROR(__xludf.DUMMYFUNCTION("""COMPUTED_VALUE"""),"Miscellaneous")</f>
        <v>Miscellaneous</v>
      </c>
      <c r="G226" s="33" t="str">
        <f>IFERROR(__xludf.DUMMYFUNCTION("""COMPUTED_VALUE"""),"Pet")</f>
        <v>Pet</v>
      </c>
      <c r="H226" s="33" t="str">
        <f>IFERROR(__xludf.DUMMYFUNCTION("""COMPUTED_VALUE"""),"Transportation")</f>
        <v>Transportation</v>
      </c>
      <c r="I226" s="33"/>
      <c r="J226" s="33"/>
      <c r="K226" s="33"/>
    </row>
    <row r="227">
      <c r="A227" s="33" t="str">
        <f>IFERROR(__xludf.DUMMYFUNCTION("""COMPUTED_VALUE"""),"Deposit")</f>
        <v>Deposit</v>
      </c>
      <c r="B227" s="33" t="str">
        <f>IFERROR(__xludf.DUMMYFUNCTION("""COMPUTED_VALUE"""),"Withdrawal")</f>
        <v>Withdrawal</v>
      </c>
      <c r="C227" s="33"/>
      <c r="D227" s="33"/>
      <c r="E227" s="33"/>
      <c r="F227" s="33"/>
      <c r="G227" s="33"/>
      <c r="H227" s="33"/>
      <c r="I227" s="33"/>
      <c r="J227" s="33"/>
      <c r="K227" s="33"/>
    </row>
    <row r="228">
      <c r="A228" s="33" t="str">
        <f>IFERROR(__xludf.DUMMYFUNCTION("""COMPUTED_VALUE"""),"Deposit")</f>
        <v>Deposit</v>
      </c>
      <c r="B228" s="33" t="str">
        <f>IFERROR(__xludf.DUMMYFUNCTION("""COMPUTED_VALUE"""),"Withdrawal")</f>
        <v>Withdrawal</v>
      </c>
      <c r="C228" s="33"/>
      <c r="D228" s="33"/>
      <c r="E228" s="33"/>
      <c r="F228" s="33"/>
      <c r="G228" s="33"/>
      <c r="H228" s="33"/>
      <c r="I228" s="33"/>
      <c r="J228" s="33"/>
      <c r="K228" s="33"/>
    </row>
    <row r="229">
      <c r="A229" s="33" t="str">
        <f>IFERROR(__xludf.DUMMYFUNCTION("""COMPUTED_VALUE"""),"Dining Out")</f>
        <v>Dining Out</v>
      </c>
      <c r="B229" s="33" t="str">
        <f>IFERROR(__xludf.DUMMYFUNCTION("""COMPUTED_VALUE"""),"Entertainment")</f>
        <v>Entertainment</v>
      </c>
      <c r="C229" s="33" t="str">
        <f>IFERROR(__xludf.DUMMYFUNCTION("""COMPUTED_VALUE"""),"Gaming")</f>
        <v>Gaming</v>
      </c>
      <c r="D229" s="33" t="str">
        <f>IFERROR(__xludf.DUMMYFUNCTION("""COMPUTED_VALUE"""),"Gifts")</f>
        <v>Gifts</v>
      </c>
      <c r="E229" s="33" t="str">
        <f>IFERROR(__xludf.DUMMYFUNCTION("""COMPUTED_VALUE"""),"Groceries")</f>
        <v>Groceries</v>
      </c>
      <c r="F229" s="33" t="str">
        <f>IFERROR(__xludf.DUMMYFUNCTION("""COMPUTED_VALUE"""),"Healthcare")</f>
        <v>Healthcare</v>
      </c>
      <c r="G229" s="33" t="str">
        <f>IFERROR(__xludf.DUMMYFUNCTION("""COMPUTED_VALUE"""),"Hobbies")</f>
        <v>Hobbies</v>
      </c>
      <c r="H229" s="33" t="str">
        <f>IFERROR(__xludf.DUMMYFUNCTION("""COMPUTED_VALUE"""),"Household Items")</f>
        <v>Household Items</v>
      </c>
      <c r="I229" s="33" t="str">
        <f>IFERROR(__xludf.DUMMYFUNCTION("""COMPUTED_VALUE"""),"Subscriptions")</f>
        <v>Subscriptions</v>
      </c>
      <c r="J229" s="33" t="str">
        <f>IFERROR(__xludf.DUMMYFUNCTION("""COMPUTED_VALUE"""),"Transportation")</f>
        <v>Transportation</v>
      </c>
      <c r="K229" s="33" t="str">
        <f>IFERROR(__xludf.DUMMYFUNCTION("""COMPUTED_VALUE"""),"Travel")</f>
        <v>Travel</v>
      </c>
    </row>
    <row r="230">
      <c r="A230" s="33" t="str">
        <f>IFERROR(__xludf.DUMMYFUNCTION("""COMPUTED_VALUE"""),"Dining Out")</f>
        <v>Dining Out</v>
      </c>
      <c r="B230" s="33" t="str">
        <f>IFERROR(__xludf.DUMMYFUNCTION("""COMPUTED_VALUE"""),"Entertainment")</f>
        <v>Entertainment</v>
      </c>
      <c r="C230" s="33" t="str">
        <f>IFERROR(__xludf.DUMMYFUNCTION("""COMPUTED_VALUE"""),"Gaming")</f>
        <v>Gaming</v>
      </c>
      <c r="D230" s="33" t="str">
        <f>IFERROR(__xludf.DUMMYFUNCTION("""COMPUTED_VALUE"""),"Gifts")</f>
        <v>Gifts</v>
      </c>
      <c r="E230" s="33" t="str">
        <f>IFERROR(__xludf.DUMMYFUNCTION("""COMPUTED_VALUE"""),"Groceries")</f>
        <v>Groceries</v>
      </c>
      <c r="F230" s="33" t="str">
        <f>IFERROR(__xludf.DUMMYFUNCTION("""COMPUTED_VALUE"""),"Healthcare")</f>
        <v>Healthcare</v>
      </c>
      <c r="G230" s="33" t="str">
        <f>IFERROR(__xludf.DUMMYFUNCTION("""COMPUTED_VALUE"""),"Hobbies")</f>
        <v>Hobbies</v>
      </c>
      <c r="H230" s="33" t="str">
        <f>IFERROR(__xludf.DUMMYFUNCTION("""COMPUTED_VALUE"""),"Household Items")</f>
        <v>Household Items</v>
      </c>
      <c r="I230" s="33" t="str">
        <f>IFERROR(__xludf.DUMMYFUNCTION("""COMPUTED_VALUE"""),"Subscriptions")</f>
        <v>Subscriptions</v>
      </c>
      <c r="J230" s="33" t="str">
        <f>IFERROR(__xludf.DUMMYFUNCTION("""COMPUTED_VALUE"""),"Transportation")</f>
        <v>Transportation</v>
      </c>
      <c r="K230" s="33" t="str">
        <f>IFERROR(__xludf.DUMMYFUNCTION("""COMPUTED_VALUE"""),"Travel")</f>
        <v>Travel</v>
      </c>
    </row>
    <row r="231">
      <c r="A231" s="33" t="str">
        <f>IFERROR(__xludf.DUMMYFUNCTION("""COMPUTED_VALUE"""),"Cashback")</f>
        <v>Cashback</v>
      </c>
      <c r="B231" s="33" t="str">
        <f>IFERROR(__xludf.DUMMYFUNCTION("""COMPUTED_VALUE"""),"Investment Returns")</f>
        <v>Investment Returns</v>
      </c>
      <c r="C231" s="33" t="str">
        <f>IFERROR(__xludf.DUMMYFUNCTION("""COMPUTED_VALUE"""),"Paycheck")</f>
        <v>Paycheck</v>
      </c>
      <c r="D231" s="33" t="str">
        <f>IFERROR(__xludf.DUMMYFUNCTION("""COMPUTED_VALUE"""),"Reimbursement")</f>
        <v>Reimbursement</v>
      </c>
      <c r="E231" s="33" t="str">
        <f>IFERROR(__xludf.DUMMYFUNCTION("""COMPUTED_VALUE"""),"Rewards")</f>
        <v>Rewards</v>
      </c>
      <c r="F231" s="33"/>
      <c r="G231" s="33"/>
      <c r="H231" s="33"/>
      <c r="I231" s="33"/>
      <c r="J231" s="33"/>
      <c r="K231" s="33"/>
    </row>
    <row r="232">
      <c r="A232" s="33" t="str">
        <f>IFERROR(__xludf.DUMMYFUNCTION("""COMPUTED_VALUE"""),"Dining Out")</f>
        <v>Dining Out</v>
      </c>
      <c r="B232" s="33" t="str">
        <f>IFERROR(__xludf.DUMMYFUNCTION("""COMPUTED_VALUE"""),"Entertainment")</f>
        <v>Entertainment</v>
      </c>
      <c r="C232" s="33" t="str">
        <f>IFERROR(__xludf.DUMMYFUNCTION("""COMPUTED_VALUE"""),"Gaming")</f>
        <v>Gaming</v>
      </c>
      <c r="D232" s="33" t="str">
        <f>IFERROR(__xludf.DUMMYFUNCTION("""COMPUTED_VALUE"""),"Gifts")</f>
        <v>Gifts</v>
      </c>
      <c r="E232" s="33" t="str">
        <f>IFERROR(__xludf.DUMMYFUNCTION("""COMPUTED_VALUE"""),"Groceries")</f>
        <v>Groceries</v>
      </c>
      <c r="F232" s="33" t="str">
        <f>IFERROR(__xludf.DUMMYFUNCTION("""COMPUTED_VALUE"""),"Healthcare")</f>
        <v>Healthcare</v>
      </c>
      <c r="G232" s="33" t="str">
        <f>IFERROR(__xludf.DUMMYFUNCTION("""COMPUTED_VALUE"""),"Hobbies")</f>
        <v>Hobbies</v>
      </c>
      <c r="H232" s="33" t="str">
        <f>IFERROR(__xludf.DUMMYFUNCTION("""COMPUTED_VALUE"""),"Household Items")</f>
        <v>Household Items</v>
      </c>
      <c r="I232" s="33" t="str">
        <f>IFERROR(__xludf.DUMMYFUNCTION("""COMPUTED_VALUE"""),"Subscriptions")</f>
        <v>Subscriptions</v>
      </c>
      <c r="J232" s="33" t="str">
        <f>IFERROR(__xludf.DUMMYFUNCTION("""COMPUTED_VALUE"""),"Transportation")</f>
        <v>Transportation</v>
      </c>
      <c r="K232" s="33" t="str">
        <f>IFERROR(__xludf.DUMMYFUNCTION("""COMPUTED_VALUE"""),"Travel")</f>
        <v>Travel</v>
      </c>
    </row>
    <row r="233">
      <c r="A233" s="33" t="str">
        <f>IFERROR(__xludf.DUMMYFUNCTION("""COMPUTED_VALUE"""),"Debt")</f>
        <v>Debt</v>
      </c>
      <c r="B233" s="33" t="str">
        <f>IFERROR(__xludf.DUMMYFUNCTION("""COMPUTED_VALUE"""),"Groceries")</f>
        <v>Groceries</v>
      </c>
      <c r="C233" s="33" t="str">
        <f>IFERROR(__xludf.DUMMYFUNCTION("""COMPUTED_VALUE"""),"Healthcare")</f>
        <v>Healthcare</v>
      </c>
      <c r="D233" s="33" t="str">
        <f>IFERROR(__xludf.DUMMYFUNCTION("""COMPUTED_VALUE"""),"Household Items")</f>
        <v>Household Items</v>
      </c>
      <c r="E233" s="33" t="str">
        <f>IFERROR(__xludf.DUMMYFUNCTION("""COMPUTED_VALUE"""),"Housing")</f>
        <v>Housing</v>
      </c>
      <c r="F233" s="33" t="str">
        <f>IFERROR(__xludf.DUMMYFUNCTION("""COMPUTED_VALUE"""),"Miscellaneous")</f>
        <v>Miscellaneous</v>
      </c>
      <c r="G233" s="33" t="str">
        <f>IFERROR(__xludf.DUMMYFUNCTION("""COMPUTED_VALUE"""),"Pet")</f>
        <v>Pet</v>
      </c>
      <c r="H233" s="33" t="str">
        <f>IFERROR(__xludf.DUMMYFUNCTION("""COMPUTED_VALUE"""),"Transportation")</f>
        <v>Transportation</v>
      </c>
      <c r="I233" s="33"/>
      <c r="J233" s="33"/>
      <c r="K233" s="33"/>
    </row>
    <row r="234">
      <c r="A234" s="33" t="str">
        <f>IFERROR(__xludf.DUMMYFUNCTION("""COMPUTED_VALUE"""),"Cashback")</f>
        <v>Cashback</v>
      </c>
      <c r="B234" s="33" t="str">
        <f>IFERROR(__xludf.DUMMYFUNCTION("""COMPUTED_VALUE"""),"Investment Returns")</f>
        <v>Investment Returns</v>
      </c>
      <c r="C234" s="33" t="str">
        <f>IFERROR(__xludf.DUMMYFUNCTION("""COMPUTED_VALUE"""),"Paycheck")</f>
        <v>Paycheck</v>
      </c>
      <c r="D234" s="33" t="str">
        <f>IFERROR(__xludf.DUMMYFUNCTION("""COMPUTED_VALUE"""),"Reimbursement")</f>
        <v>Reimbursement</v>
      </c>
      <c r="E234" s="33" t="str">
        <f>IFERROR(__xludf.DUMMYFUNCTION("""COMPUTED_VALUE"""),"Rewards")</f>
        <v>Rewards</v>
      </c>
      <c r="F234" s="33"/>
      <c r="G234" s="33"/>
      <c r="H234" s="33"/>
      <c r="I234" s="33"/>
      <c r="J234" s="33"/>
      <c r="K234" s="33"/>
    </row>
    <row r="235">
      <c r="A235" s="33" t="str">
        <f>IFERROR(__xludf.DUMMYFUNCTION("""COMPUTED_VALUE"""),"Cashback")</f>
        <v>Cashback</v>
      </c>
      <c r="B235" s="33" t="str">
        <f>IFERROR(__xludf.DUMMYFUNCTION("""COMPUTED_VALUE"""),"Investment Returns")</f>
        <v>Investment Returns</v>
      </c>
      <c r="C235" s="33" t="str">
        <f>IFERROR(__xludf.DUMMYFUNCTION("""COMPUTED_VALUE"""),"Paycheck")</f>
        <v>Paycheck</v>
      </c>
      <c r="D235" s="33" t="str">
        <f>IFERROR(__xludf.DUMMYFUNCTION("""COMPUTED_VALUE"""),"Reimbursement")</f>
        <v>Reimbursement</v>
      </c>
      <c r="E235" s="33" t="str">
        <f>IFERROR(__xludf.DUMMYFUNCTION("""COMPUTED_VALUE"""),"Rewards")</f>
        <v>Rewards</v>
      </c>
      <c r="F235" s="33"/>
      <c r="G235" s="33"/>
      <c r="H235" s="33"/>
      <c r="I235" s="33"/>
      <c r="J235" s="33"/>
      <c r="K235" s="33"/>
    </row>
    <row r="236">
      <c r="A236" s="33" t="str">
        <f>IFERROR(__xludf.DUMMYFUNCTION("""COMPUTED_VALUE"""),"Clothing")</f>
        <v>Clothing</v>
      </c>
      <c r="B236" s="33" t="str">
        <f>IFERROR(__xludf.DUMMYFUNCTION("""COMPUTED_VALUE"""),"Gaming")</f>
        <v>Gaming</v>
      </c>
      <c r="C236" s="33" t="str">
        <f>IFERROR(__xludf.DUMMYFUNCTION("""COMPUTED_VALUE"""),"Gifts")</f>
        <v>Gifts</v>
      </c>
      <c r="D236" s="33" t="str">
        <f>IFERROR(__xludf.DUMMYFUNCTION("""COMPUTED_VALUE"""),"Healthcare")</f>
        <v>Healthcare</v>
      </c>
      <c r="E236" s="33" t="str">
        <f>IFERROR(__xludf.DUMMYFUNCTION("""COMPUTED_VALUE"""),"Hobbies")</f>
        <v>Hobbies</v>
      </c>
      <c r="F236" s="33" t="str">
        <f>IFERROR(__xludf.DUMMYFUNCTION("""COMPUTED_VALUE"""),"Subscriptions")</f>
        <v>Subscriptions</v>
      </c>
      <c r="G236" s="33"/>
      <c r="H236" s="33"/>
      <c r="I236" s="33"/>
      <c r="J236" s="33"/>
      <c r="K236" s="33"/>
    </row>
    <row r="237">
      <c r="A237" s="33" t="str">
        <f>IFERROR(__xludf.DUMMYFUNCTION("""COMPUTED_VALUE"""),"Dining Out")</f>
        <v>Dining Out</v>
      </c>
      <c r="B237" s="33" t="str">
        <f>IFERROR(__xludf.DUMMYFUNCTION("""COMPUTED_VALUE"""),"Entertainment")</f>
        <v>Entertainment</v>
      </c>
      <c r="C237" s="33" t="str">
        <f>IFERROR(__xludf.DUMMYFUNCTION("""COMPUTED_VALUE"""),"Gaming")</f>
        <v>Gaming</v>
      </c>
      <c r="D237" s="33" t="str">
        <f>IFERROR(__xludf.DUMMYFUNCTION("""COMPUTED_VALUE"""),"Gifts")</f>
        <v>Gifts</v>
      </c>
      <c r="E237" s="33" t="str">
        <f>IFERROR(__xludf.DUMMYFUNCTION("""COMPUTED_VALUE"""),"Groceries")</f>
        <v>Groceries</v>
      </c>
      <c r="F237" s="33" t="str">
        <f>IFERROR(__xludf.DUMMYFUNCTION("""COMPUTED_VALUE"""),"Healthcare")</f>
        <v>Healthcare</v>
      </c>
      <c r="G237" s="33" t="str">
        <f>IFERROR(__xludf.DUMMYFUNCTION("""COMPUTED_VALUE"""),"Hobbies")</f>
        <v>Hobbies</v>
      </c>
      <c r="H237" s="33" t="str">
        <f>IFERROR(__xludf.DUMMYFUNCTION("""COMPUTED_VALUE"""),"Household Items")</f>
        <v>Household Items</v>
      </c>
      <c r="I237" s="33" t="str">
        <f>IFERROR(__xludf.DUMMYFUNCTION("""COMPUTED_VALUE"""),"Subscriptions")</f>
        <v>Subscriptions</v>
      </c>
      <c r="J237" s="33" t="str">
        <f>IFERROR(__xludf.DUMMYFUNCTION("""COMPUTED_VALUE"""),"Transportation")</f>
        <v>Transportation</v>
      </c>
      <c r="K237" s="33" t="str">
        <f>IFERROR(__xludf.DUMMYFUNCTION("""COMPUTED_VALUE"""),"Travel")</f>
        <v>Travel</v>
      </c>
    </row>
    <row r="238">
      <c r="A238" s="33" t="str">
        <f>IFERROR(__xludf.DUMMYFUNCTION("""COMPUTED_VALUE"""),"Boarding")</f>
        <v>Boarding</v>
      </c>
      <c r="B238" s="33" t="str">
        <f>IFERROR(__xludf.DUMMYFUNCTION("""COMPUTED_VALUE"""),"Clothing")</f>
        <v>Clothing</v>
      </c>
      <c r="C238" s="33" t="str">
        <f>IFERROR(__xludf.DUMMYFUNCTION("""COMPUTED_VALUE"""),"Daycare")</f>
        <v>Daycare</v>
      </c>
      <c r="D238" s="33" t="str">
        <f>IFERROR(__xludf.DUMMYFUNCTION("""COMPUTED_VALUE"""),"Grooming")</f>
        <v>Grooming</v>
      </c>
      <c r="E238" s="33" t="str">
        <f>IFERROR(__xludf.DUMMYFUNCTION("""COMPUTED_VALUE"""),"Toys")</f>
        <v>Toys</v>
      </c>
      <c r="F238" s="33" t="str">
        <f>IFERROR(__xludf.DUMMYFUNCTION("""COMPUTED_VALUE"""),"Treats")</f>
        <v>Treats</v>
      </c>
      <c r="G238" s="33"/>
      <c r="H238" s="33"/>
      <c r="I238" s="33"/>
      <c r="J238" s="33"/>
      <c r="K238" s="33"/>
    </row>
    <row r="239">
      <c r="A239" s="33" t="str">
        <f>IFERROR(__xludf.DUMMYFUNCTION("""COMPUTED_VALUE"""),"Boarding")</f>
        <v>Boarding</v>
      </c>
      <c r="B239" s="33" t="str">
        <f>IFERROR(__xludf.DUMMYFUNCTION("""COMPUTED_VALUE"""),"Clothing")</f>
        <v>Clothing</v>
      </c>
      <c r="C239" s="33" t="str">
        <f>IFERROR(__xludf.DUMMYFUNCTION("""COMPUTED_VALUE"""),"Daycare")</f>
        <v>Daycare</v>
      </c>
      <c r="D239" s="33" t="str">
        <f>IFERROR(__xludf.DUMMYFUNCTION("""COMPUTED_VALUE"""),"Grooming")</f>
        <v>Grooming</v>
      </c>
      <c r="E239" s="33" t="str">
        <f>IFERROR(__xludf.DUMMYFUNCTION("""COMPUTED_VALUE"""),"Toys")</f>
        <v>Toys</v>
      </c>
      <c r="F239" s="33" t="str">
        <f>IFERROR(__xludf.DUMMYFUNCTION("""COMPUTED_VALUE"""),"Treats")</f>
        <v>Treats</v>
      </c>
      <c r="G239" s="33"/>
      <c r="H239" s="33"/>
      <c r="I239" s="33"/>
      <c r="J239" s="33"/>
      <c r="K239" s="33"/>
    </row>
    <row r="240">
      <c r="A240" s="33" t="str">
        <f>IFERROR(__xludf.DUMMYFUNCTION("""COMPUTED_VALUE"""),"Dining Out")</f>
        <v>Dining Out</v>
      </c>
      <c r="B240" s="33" t="str">
        <f>IFERROR(__xludf.DUMMYFUNCTION("""COMPUTED_VALUE"""),"Entertainment")</f>
        <v>Entertainment</v>
      </c>
      <c r="C240" s="33" t="str">
        <f>IFERROR(__xludf.DUMMYFUNCTION("""COMPUTED_VALUE"""),"Gaming")</f>
        <v>Gaming</v>
      </c>
      <c r="D240" s="33" t="str">
        <f>IFERROR(__xludf.DUMMYFUNCTION("""COMPUTED_VALUE"""),"Gifts")</f>
        <v>Gifts</v>
      </c>
      <c r="E240" s="33" t="str">
        <f>IFERROR(__xludf.DUMMYFUNCTION("""COMPUTED_VALUE"""),"Groceries")</f>
        <v>Groceries</v>
      </c>
      <c r="F240" s="33" t="str">
        <f>IFERROR(__xludf.DUMMYFUNCTION("""COMPUTED_VALUE"""),"Healthcare")</f>
        <v>Healthcare</v>
      </c>
      <c r="G240" s="33" t="str">
        <f>IFERROR(__xludf.DUMMYFUNCTION("""COMPUTED_VALUE"""),"Hobbies")</f>
        <v>Hobbies</v>
      </c>
      <c r="H240" s="33" t="str">
        <f>IFERROR(__xludf.DUMMYFUNCTION("""COMPUTED_VALUE"""),"Household Items")</f>
        <v>Household Items</v>
      </c>
      <c r="I240" s="33" t="str">
        <f>IFERROR(__xludf.DUMMYFUNCTION("""COMPUTED_VALUE"""),"Subscriptions")</f>
        <v>Subscriptions</v>
      </c>
      <c r="J240" s="33" t="str">
        <f>IFERROR(__xludf.DUMMYFUNCTION("""COMPUTED_VALUE"""),"Transportation")</f>
        <v>Transportation</v>
      </c>
      <c r="K240" s="33" t="str">
        <f>IFERROR(__xludf.DUMMYFUNCTION("""COMPUTED_VALUE"""),"Travel")</f>
        <v>Travel</v>
      </c>
    </row>
    <row r="241">
      <c r="A241" s="33" t="str">
        <f>IFERROR(__xludf.DUMMYFUNCTION("""COMPUTED_VALUE"""),"Dining Out")</f>
        <v>Dining Out</v>
      </c>
      <c r="B241" s="33" t="str">
        <f>IFERROR(__xludf.DUMMYFUNCTION("""COMPUTED_VALUE"""),"Entertainment")</f>
        <v>Entertainment</v>
      </c>
      <c r="C241" s="33" t="str">
        <f>IFERROR(__xludf.DUMMYFUNCTION("""COMPUTED_VALUE"""),"Gaming")</f>
        <v>Gaming</v>
      </c>
      <c r="D241" s="33" t="str">
        <f>IFERROR(__xludf.DUMMYFUNCTION("""COMPUTED_VALUE"""),"Gifts")</f>
        <v>Gifts</v>
      </c>
      <c r="E241" s="33" t="str">
        <f>IFERROR(__xludf.DUMMYFUNCTION("""COMPUTED_VALUE"""),"Groceries")</f>
        <v>Groceries</v>
      </c>
      <c r="F241" s="33" t="str">
        <f>IFERROR(__xludf.DUMMYFUNCTION("""COMPUTED_VALUE"""),"Healthcare")</f>
        <v>Healthcare</v>
      </c>
      <c r="G241" s="33" t="str">
        <f>IFERROR(__xludf.DUMMYFUNCTION("""COMPUTED_VALUE"""),"Hobbies")</f>
        <v>Hobbies</v>
      </c>
      <c r="H241" s="33" t="str">
        <f>IFERROR(__xludf.DUMMYFUNCTION("""COMPUTED_VALUE"""),"Household Items")</f>
        <v>Household Items</v>
      </c>
      <c r="I241" s="33" t="str">
        <f>IFERROR(__xludf.DUMMYFUNCTION("""COMPUTED_VALUE"""),"Subscriptions")</f>
        <v>Subscriptions</v>
      </c>
      <c r="J241" s="33" t="str">
        <f>IFERROR(__xludf.DUMMYFUNCTION("""COMPUTED_VALUE"""),"Transportation")</f>
        <v>Transportation</v>
      </c>
      <c r="K241" s="33" t="str">
        <f>IFERROR(__xludf.DUMMYFUNCTION("""COMPUTED_VALUE"""),"Travel")</f>
        <v>Travel</v>
      </c>
    </row>
    <row r="242">
      <c r="A242" s="33" t="str">
        <f>IFERROR(__xludf.DUMMYFUNCTION("""COMPUTED_VALUE"""),"Debt")</f>
        <v>Debt</v>
      </c>
      <c r="B242" s="33" t="str">
        <f>IFERROR(__xludf.DUMMYFUNCTION("""COMPUTED_VALUE"""),"Groceries")</f>
        <v>Groceries</v>
      </c>
      <c r="C242" s="33" t="str">
        <f>IFERROR(__xludf.DUMMYFUNCTION("""COMPUTED_VALUE"""),"Healthcare")</f>
        <v>Healthcare</v>
      </c>
      <c r="D242" s="33" t="str">
        <f>IFERROR(__xludf.DUMMYFUNCTION("""COMPUTED_VALUE"""),"Household Items")</f>
        <v>Household Items</v>
      </c>
      <c r="E242" s="33" t="str">
        <f>IFERROR(__xludf.DUMMYFUNCTION("""COMPUTED_VALUE"""),"Housing")</f>
        <v>Housing</v>
      </c>
      <c r="F242" s="33" t="str">
        <f>IFERROR(__xludf.DUMMYFUNCTION("""COMPUTED_VALUE"""),"Miscellaneous")</f>
        <v>Miscellaneous</v>
      </c>
      <c r="G242" s="33" t="str">
        <f>IFERROR(__xludf.DUMMYFUNCTION("""COMPUTED_VALUE"""),"Pet")</f>
        <v>Pet</v>
      </c>
      <c r="H242" s="33" t="str">
        <f>IFERROR(__xludf.DUMMYFUNCTION("""COMPUTED_VALUE"""),"Transportation")</f>
        <v>Transportation</v>
      </c>
      <c r="I242" s="33"/>
      <c r="J242" s="33"/>
      <c r="K242" s="33"/>
    </row>
    <row r="243">
      <c r="A243" s="33" t="str">
        <f>IFERROR(__xludf.DUMMYFUNCTION("""COMPUTED_VALUE"""),"Debt")</f>
        <v>Debt</v>
      </c>
      <c r="B243" s="33" t="str">
        <f>IFERROR(__xludf.DUMMYFUNCTION("""COMPUTED_VALUE"""),"Groceries")</f>
        <v>Groceries</v>
      </c>
      <c r="C243" s="33" t="str">
        <f>IFERROR(__xludf.DUMMYFUNCTION("""COMPUTED_VALUE"""),"Healthcare")</f>
        <v>Healthcare</v>
      </c>
      <c r="D243" s="33" t="str">
        <f>IFERROR(__xludf.DUMMYFUNCTION("""COMPUTED_VALUE"""),"Household Items")</f>
        <v>Household Items</v>
      </c>
      <c r="E243" s="33" t="str">
        <f>IFERROR(__xludf.DUMMYFUNCTION("""COMPUTED_VALUE"""),"Housing")</f>
        <v>Housing</v>
      </c>
      <c r="F243" s="33" t="str">
        <f>IFERROR(__xludf.DUMMYFUNCTION("""COMPUTED_VALUE"""),"Miscellaneous")</f>
        <v>Miscellaneous</v>
      </c>
      <c r="G243" s="33" t="str">
        <f>IFERROR(__xludf.DUMMYFUNCTION("""COMPUTED_VALUE"""),"Pet")</f>
        <v>Pet</v>
      </c>
      <c r="H243" s="33" t="str">
        <f>IFERROR(__xludf.DUMMYFUNCTION("""COMPUTED_VALUE"""),"Transportation")</f>
        <v>Transportation</v>
      </c>
      <c r="I243" s="33"/>
      <c r="J243" s="33"/>
      <c r="K243" s="33"/>
    </row>
    <row r="244">
      <c r="A244" s="33" t="str">
        <f>IFERROR(__xludf.DUMMYFUNCTION("""COMPUTED_VALUE"""),"Debt")</f>
        <v>Debt</v>
      </c>
      <c r="B244" s="33" t="str">
        <f>IFERROR(__xludf.DUMMYFUNCTION("""COMPUTED_VALUE"""),"Groceries")</f>
        <v>Groceries</v>
      </c>
      <c r="C244" s="33" t="str">
        <f>IFERROR(__xludf.DUMMYFUNCTION("""COMPUTED_VALUE"""),"Healthcare")</f>
        <v>Healthcare</v>
      </c>
      <c r="D244" s="33" t="str">
        <f>IFERROR(__xludf.DUMMYFUNCTION("""COMPUTED_VALUE"""),"Household Items")</f>
        <v>Household Items</v>
      </c>
      <c r="E244" s="33" t="str">
        <f>IFERROR(__xludf.DUMMYFUNCTION("""COMPUTED_VALUE"""),"Housing")</f>
        <v>Housing</v>
      </c>
      <c r="F244" s="33" t="str">
        <f>IFERROR(__xludf.DUMMYFUNCTION("""COMPUTED_VALUE"""),"Miscellaneous")</f>
        <v>Miscellaneous</v>
      </c>
      <c r="G244" s="33" t="str">
        <f>IFERROR(__xludf.DUMMYFUNCTION("""COMPUTED_VALUE"""),"Pet")</f>
        <v>Pet</v>
      </c>
      <c r="H244" s="33" t="str">
        <f>IFERROR(__xludf.DUMMYFUNCTION("""COMPUTED_VALUE"""),"Transportation")</f>
        <v>Transportation</v>
      </c>
      <c r="I244" s="33"/>
      <c r="J244" s="33"/>
      <c r="K244" s="33"/>
    </row>
    <row r="245">
      <c r="A245" s="33" t="str">
        <f>IFERROR(__xludf.DUMMYFUNCTION("""COMPUTED_VALUE"""),"Debt")</f>
        <v>Debt</v>
      </c>
      <c r="B245" s="33" t="str">
        <f>IFERROR(__xludf.DUMMYFUNCTION("""COMPUTED_VALUE"""),"Groceries")</f>
        <v>Groceries</v>
      </c>
      <c r="C245" s="33" t="str">
        <f>IFERROR(__xludf.DUMMYFUNCTION("""COMPUTED_VALUE"""),"Healthcare")</f>
        <v>Healthcare</v>
      </c>
      <c r="D245" s="33" t="str">
        <f>IFERROR(__xludf.DUMMYFUNCTION("""COMPUTED_VALUE"""),"Household Items")</f>
        <v>Household Items</v>
      </c>
      <c r="E245" s="33" t="str">
        <f>IFERROR(__xludf.DUMMYFUNCTION("""COMPUTED_VALUE"""),"Housing")</f>
        <v>Housing</v>
      </c>
      <c r="F245" s="33" t="str">
        <f>IFERROR(__xludf.DUMMYFUNCTION("""COMPUTED_VALUE"""),"Miscellaneous")</f>
        <v>Miscellaneous</v>
      </c>
      <c r="G245" s="33" t="str">
        <f>IFERROR(__xludf.DUMMYFUNCTION("""COMPUTED_VALUE"""),"Pet")</f>
        <v>Pet</v>
      </c>
      <c r="H245" s="33" t="str">
        <f>IFERROR(__xludf.DUMMYFUNCTION("""COMPUTED_VALUE"""),"Transportation")</f>
        <v>Transportation</v>
      </c>
      <c r="I245" s="33"/>
      <c r="J245" s="33"/>
      <c r="K245" s="33"/>
    </row>
    <row r="246">
      <c r="A246" s="33" t="str">
        <f>IFERROR(__xludf.DUMMYFUNCTION("""COMPUTED_VALUE"""),"Debt")</f>
        <v>Debt</v>
      </c>
      <c r="B246" s="33" t="str">
        <f>IFERROR(__xludf.DUMMYFUNCTION("""COMPUTED_VALUE"""),"Groceries")</f>
        <v>Groceries</v>
      </c>
      <c r="C246" s="33" t="str">
        <f>IFERROR(__xludf.DUMMYFUNCTION("""COMPUTED_VALUE"""),"Healthcare")</f>
        <v>Healthcare</v>
      </c>
      <c r="D246" s="33" t="str">
        <f>IFERROR(__xludf.DUMMYFUNCTION("""COMPUTED_VALUE"""),"Household Items")</f>
        <v>Household Items</v>
      </c>
      <c r="E246" s="33" t="str">
        <f>IFERROR(__xludf.DUMMYFUNCTION("""COMPUTED_VALUE"""),"Housing")</f>
        <v>Housing</v>
      </c>
      <c r="F246" s="33" t="str">
        <f>IFERROR(__xludf.DUMMYFUNCTION("""COMPUTED_VALUE"""),"Miscellaneous")</f>
        <v>Miscellaneous</v>
      </c>
      <c r="G246" s="33" t="str">
        <f>IFERROR(__xludf.DUMMYFUNCTION("""COMPUTED_VALUE"""),"Pet")</f>
        <v>Pet</v>
      </c>
      <c r="H246" s="33" t="str">
        <f>IFERROR(__xludf.DUMMYFUNCTION("""COMPUTED_VALUE"""),"Transportation")</f>
        <v>Transportation</v>
      </c>
      <c r="I246" s="33"/>
      <c r="J246" s="33"/>
      <c r="K246" s="33"/>
    </row>
    <row r="247">
      <c r="A247" s="33" t="str">
        <f>IFERROR(__xludf.DUMMYFUNCTION("""COMPUTED_VALUE"""),"Debt")</f>
        <v>Debt</v>
      </c>
      <c r="B247" s="33" t="str">
        <f>IFERROR(__xludf.DUMMYFUNCTION("""COMPUTED_VALUE"""),"Groceries")</f>
        <v>Groceries</v>
      </c>
      <c r="C247" s="33" t="str">
        <f>IFERROR(__xludf.DUMMYFUNCTION("""COMPUTED_VALUE"""),"Healthcare")</f>
        <v>Healthcare</v>
      </c>
      <c r="D247" s="33" t="str">
        <f>IFERROR(__xludf.DUMMYFUNCTION("""COMPUTED_VALUE"""),"Household Items")</f>
        <v>Household Items</v>
      </c>
      <c r="E247" s="33" t="str">
        <f>IFERROR(__xludf.DUMMYFUNCTION("""COMPUTED_VALUE"""),"Housing")</f>
        <v>Housing</v>
      </c>
      <c r="F247" s="33" t="str">
        <f>IFERROR(__xludf.DUMMYFUNCTION("""COMPUTED_VALUE"""),"Miscellaneous")</f>
        <v>Miscellaneous</v>
      </c>
      <c r="G247" s="33" t="str">
        <f>IFERROR(__xludf.DUMMYFUNCTION("""COMPUTED_VALUE"""),"Pet")</f>
        <v>Pet</v>
      </c>
      <c r="H247" s="33" t="str">
        <f>IFERROR(__xludf.DUMMYFUNCTION("""COMPUTED_VALUE"""),"Transportation")</f>
        <v>Transportation</v>
      </c>
      <c r="I247" s="33"/>
      <c r="J247" s="33"/>
      <c r="K247" s="33"/>
    </row>
    <row r="248">
      <c r="A248" s="33" t="str">
        <f>IFERROR(__xludf.DUMMYFUNCTION("""COMPUTED_VALUE"""),"Debt")</f>
        <v>Debt</v>
      </c>
      <c r="B248" s="33" t="str">
        <f>IFERROR(__xludf.DUMMYFUNCTION("""COMPUTED_VALUE"""),"Groceries")</f>
        <v>Groceries</v>
      </c>
      <c r="C248" s="33" t="str">
        <f>IFERROR(__xludf.DUMMYFUNCTION("""COMPUTED_VALUE"""),"Healthcare")</f>
        <v>Healthcare</v>
      </c>
      <c r="D248" s="33" t="str">
        <f>IFERROR(__xludf.DUMMYFUNCTION("""COMPUTED_VALUE"""),"Household Items")</f>
        <v>Household Items</v>
      </c>
      <c r="E248" s="33" t="str">
        <f>IFERROR(__xludf.DUMMYFUNCTION("""COMPUTED_VALUE"""),"Housing")</f>
        <v>Housing</v>
      </c>
      <c r="F248" s="33" t="str">
        <f>IFERROR(__xludf.DUMMYFUNCTION("""COMPUTED_VALUE"""),"Miscellaneous")</f>
        <v>Miscellaneous</v>
      </c>
      <c r="G248" s="33" t="str">
        <f>IFERROR(__xludf.DUMMYFUNCTION("""COMPUTED_VALUE"""),"Pet")</f>
        <v>Pet</v>
      </c>
      <c r="H248" s="33" t="str">
        <f>IFERROR(__xludf.DUMMYFUNCTION("""COMPUTED_VALUE"""),"Transportation")</f>
        <v>Transportation</v>
      </c>
      <c r="I248" s="33"/>
      <c r="J248" s="33"/>
      <c r="K248" s="33"/>
    </row>
    <row r="249">
      <c r="A249" s="33" t="str">
        <f>IFERROR(__xludf.DUMMYFUNCTION("""COMPUTED_VALUE"""),"Debt")</f>
        <v>Debt</v>
      </c>
      <c r="B249" s="33" t="str">
        <f>IFERROR(__xludf.DUMMYFUNCTION("""COMPUTED_VALUE"""),"Groceries")</f>
        <v>Groceries</v>
      </c>
      <c r="C249" s="33" t="str">
        <f>IFERROR(__xludf.DUMMYFUNCTION("""COMPUTED_VALUE"""),"Healthcare")</f>
        <v>Healthcare</v>
      </c>
      <c r="D249" s="33" t="str">
        <f>IFERROR(__xludf.DUMMYFUNCTION("""COMPUTED_VALUE"""),"Household Items")</f>
        <v>Household Items</v>
      </c>
      <c r="E249" s="33" t="str">
        <f>IFERROR(__xludf.DUMMYFUNCTION("""COMPUTED_VALUE"""),"Housing")</f>
        <v>Housing</v>
      </c>
      <c r="F249" s="33" t="str">
        <f>IFERROR(__xludf.DUMMYFUNCTION("""COMPUTED_VALUE"""),"Miscellaneous")</f>
        <v>Miscellaneous</v>
      </c>
      <c r="G249" s="33" t="str">
        <f>IFERROR(__xludf.DUMMYFUNCTION("""COMPUTED_VALUE"""),"Pet")</f>
        <v>Pet</v>
      </c>
      <c r="H249" s="33" t="str">
        <f>IFERROR(__xludf.DUMMYFUNCTION("""COMPUTED_VALUE"""),"Transportation")</f>
        <v>Transportation</v>
      </c>
      <c r="I249" s="33"/>
      <c r="J249" s="33"/>
      <c r="K249" s="33"/>
    </row>
    <row r="250">
      <c r="A250" s="33" t="str">
        <f>IFERROR(__xludf.DUMMYFUNCTION("""COMPUTED_VALUE"""),"Debt")</f>
        <v>Debt</v>
      </c>
      <c r="B250" s="33" t="str">
        <f>IFERROR(__xludf.DUMMYFUNCTION("""COMPUTED_VALUE"""),"Groceries")</f>
        <v>Groceries</v>
      </c>
      <c r="C250" s="33" t="str">
        <f>IFERROR(__xludf.DUMMYFUNCTION("""COMPUTED_VALUE"""),"Healthcare")</f>
        <v>Healthcare</v>
      </c>
      <c r="D250" s="33" t="str">
        <f>IFERROR(__xludf.DUMMYFUNCTION("""COMPUTED_VALUE"""),"Household Items")</f>
        <v>Household Items</v>
      </c>
      <c r="E250" s="33" t="str">
        <f>IFERROR(__xludf.DUMMYFUNCTION("""COMPUTED_VALUE"""),"Housing")</f>
        <v>Housing</v>
      </c>
      <c r="F250" s="33" t="str">
        <f>IFERROR(__xludf.DUMMYFUNCTION("""COMPUTED_VALUE"""),"Miscellaneous")</f>
        <v>Miscellaneous</v>
      </c>
      <c r="G250" s="33" t="str">
        <f>IFERROR(__xludf.DUMMYFUNCTION("""COMPUTED_VALUE"""),"Pet")</f>
        <v>Pet</v>
      </c>
      <c r="H250" s="33" t="str">
        <f>IFERROR(__xludf.DUMMYFUNCTION("""COMPUTED_VALUE"""),"Transportation")</f>
        <v>Transportation</v>
      </c>
      <c r="I250" s="33"/>
      <c r="J250" s="33"/>
      <c r="K250" s="33"/>
    </row>
    <row r="251">
      <c r="A251" s="33" t="str">
        <f>IFERROR(__xludf.DUMMYFUNCTION("""COMPUTED_VALUE"""),"Debt")</f>
        <v>Debt</v>
      </c>
      <c r="B251" s="33" t="str">
        <f>IFERROR(__xludf.DUMMYFUNCTION("""COMPUTED_VALUE"""),"Groceries")</f>
        <v>Groceries</v>
      </c>
      <c r="C251" s="33" t="str">
        <f>IFERROR(__xludf.DUMMYFUNCTION("""COMPUTED_VALUE"""),"Healthcare")</f>
        <v>Healthcare</v>
      </c>
      <c r="D251" s="33" t="str">
        <f>IFERROR(__xludf.DUMMYFUNCTION("""COMPUTED_VALUE"""),"Household Items")</f>
        <v>Household Items</v>
      </c>
      <c r="E251" s="33" t="str">
        <f>IFERROR(__xludf.DUMMYFUNCTION("""COMPUTED_VALUE"""),"Housing")</f>
        <v>Housing</v>
      </c>
      <c r="F251" s="33" t="str">
        <f>IFERROR(__xludf.DUMMYFUNCTION("""COMPUTED_VALUE"""),"Miscellaneous")</f>
        <v>Miscellaneous</v>
      </c>
      <c r="G251" s="33" t="str">
        <f>IFERROR(__xludf.DUMMYFUNCTION("""COMPUTED_VALUE"""),"Pet")</f>
        <v>Pet</v>
      </c>
      <c r="H251" s="33" t="str">
        <f>IFERROR(__xludf.DUMMYFUNCTION("""COMPUTED_VALUE"""),"Transportation")</f>
        <v>Transportation</v>
      </c>
      <c r="I251" s="33"/>
      <c r="J251" s="33"/>
      <c r="K251" s="33"/>
    </row>
    <row r="252">
      <c r="A252" s="33" t="str">
        <f>IFERROR(__xludf.DUMMYFUNCTION("""COMPUTED_VALUE"""),"Debt")</f>
        <v>Debt</v>
      </c>
      <c r="B252" s="33" t="str">
        <f>IFERROR(__xludf.DUMMYFUNCTION("""COMPUTED_VALUE"""),"Groceries")</f>
        <v>Groceries</v>
      </c>
      <c r="C252" s="33" t="str">
        <f>IFERROR(__xludf.DUMMYFUNCTION("""COMPUTED_VALUE"""),"Healthcare")</f>
        <v>Healthcare</v>
      </c>
      <c r="D252" s="33" t="str">
        <f>IFERROR(__xludf.DUMMYFUNCTION("""COMPUTED_VALUE"""),"Household Items")</f>
        <v>Household Items</v>
      </c>
      <c r="E252" s="33" t="str">
        <f>IFERROR(__xludf.DUMMYFUNCTION("""COMPUTED_VALUE"""),"Housing")</f>
        <v>Housing</v>
      </c>
      <c r="F252" s="33" t="str">
        <f>IFERROR(__xludf.DUMMYFUNCTION("""COMPUTED_VALUE"""),"Miscellaneous")</f>
        <v>Miscellaneous</v>
      </c>
      <c r="G252" s="33" t="str">
        <f>IFERROR(__xludf.DUMMYFUNCTION("""COMPUTED_VALUE"""),"Pet")</f>
        <v>Pet</v>
      </c>
      <c r="H252" s="33" t="str">
        <f>IFERROR(__xludf.DUMMYFUNCTION("""COMPUTED_VALUE"""),"Transportation")</f>
        <v>Transportation</v>
      </c>
      <c r="I252" s="33"/>
      <c r="J252" s="33"/>
      <c r="K252" s="33"/>
    </row>
    <row r="253">
      <c r="A253" s="33" t="str">
        <f>IFERROR(__xludf.DUMMYFUNCTION("""COMPUTED_VALUE"""),"Debt")</f>
        <v>Debt</v>
      </c>
      <c r="B253" s="33" t="str">
        <f>IFERROR(__xludf.DUMMYFUNCTION("""COMPUTED_VALUE"""),"Groceries")</f>
        <v>Groceries</v>
      </c>
      <c r="C253" s="33" t="str">
        <f>IFERROR(__xludf.DUMMYFUNCTION("""COMPUTED_VALUE"""),"Healthcare")</f>
        <v>Healthcare</v>
      </c>
      <c r="D253" s="33" t="str">
        <f>IFERROR(__xludf.DUMMYFUNCTION("""COMPUTED_VALUE"""),"Household Items")</f>
        <v>Household Items</v>
      </c>
      <c r="E253" s="33" t="str">
        <f>IFERROR(__xludf.DUMMYFUNCTION("""COMPUTED_VALUE"""),"Housing")</f>
        <v>Housing</v>
      </c>
      <c r="F253" s="33" t="str">
        <f>IFERROR(__xludf.DUMMYFUNCTION("""COMPUTED_VALUE"""),"Miscellaneous")</f>
        <v>Miscellaneous</v>
      </c>
      <c r="G253" s="33" t="str">
        <f>IFERROR(__xludf.DUMMYFUNCTION("""COMPUTED_VALUE"""),"Pet")</f>
        <v>Pet</v>
      </c>
      <c r="H253" s="33" t="str">
        <f>IFERROR(__xludf.DUMMYFUNCTION("""COMPUTED_VALUE"""),"Transportation")</f>
        <v>Transportation</v>
      </c>
      <c r="I253" s="33"/>
      <c r="J253" s="33"/>
      <c r="K253" s="33"/>
    </row>
    <row r="254">
      <c r="A254" s="33" t="str">
        <f>IFERROR(__xludf.DUMMYFUNCTION("""COMPUTED_VALUE"""),"Debt")</f>
        <v>Debt</v>
      </c>
      <c r="B254" s="33" t="str">
        <f>IFERROR(__xludf.DUMMYFUNCTION("""COMPUTED_VALUE"""),"Groceries")</f>
        <v>Groceries</v>
      </c>
      <c r="C254" s="33" t="str">
        <f>IFERROR(__xludf.DUMMYFUNCTION("""COMPUTED_VALUE"""),"Healthcare")</f>
        <v>Healthcare</v>
      </c>
      <c r="D254" s="33" t="str">
        <f>IFERROR(__xludf.DUMMYFUNCTION("""COMPUTED_VALUE"""),"Household Items")</f>
        <v>Household Items</v>
      </c>
      <c r="E254" s="33" t="str">
        <f>IFERROR(__xludf.DUMMYFUNCTION("""COMPUTED_VALUE"""),"Housing")</f>
        <v>Housing</v>
      </c>
      <c r="F254" s="33" t="str">
        <f>IFERROR(__xludf.DUMMYFUNCTION("""COMPUTED_VALUE"""),"Miscellaneous")</f>
        <v>Miscellaneous</v>
      </c>
      <c r="G254" s="33" t="str">
        <f>IFERROR(__xludf.DUMMYFUNCTION("""COMPUTED_VALUE"""),"Pet")</f>
        <v>Pet</v>
      </c>
      <c r="H254" s="33" t="str">
        <f>IFERROR(__xludf.DUMMYFUNCTION("""COMPUTED_VALUE"""),"Transportation")</f>
        <v>Transportation</v>
      </c>
      <c r="I254" s="33"/>
      <c r="J254" s="33"/>
      <c r="K254" s="33"/>
    </row>
    <row r="255">
      <c r="A255" s="33" t="str">
        <f>IFERROR(__xludf.DUMMYFUNCTION("""COMPUTED_VALUE"""),"Debt")</f>
        <v>Debt</v>
      </c>
      <c r="B255" s="33" t="str">
        <f>IFERROR(__xludf.DUMMYFUNCTION("""COMPUTED_VALUE"""),"Groceries")</f>
        <v>Groceries</v>
      </c>
      <c r="C255" s="33" t="str">
        <f>IFERROR(__xludf.DUMMYFUNCTION("""COMPUTED_VALUE"""),"Healthcare")</f>
        <v>Healthcare</v>
      </c>
      <c r="D255" s="33" t="str">
        <f>IFERROR(__xludf.DUMMYFUNCTION("""COMPUTED_VALUE"""),"Household Items")</f>
        <v>Household Items</v>
      </c>
      <c r="E255" s="33" t="str">
        <f>IFERROR(__xludf.DUMMYFUNCTION("""COMPUTED_VALUE"""),"Housing")</f>
        <v>Housing</v>
      </c>
      <c r="F255" s="33" t="str">
        <f>IFERROR(__xludf.DUMMYFUNCTION("""COMPUTED_VALUE"""),"Miscellaneous")</f>
        <v>Miscellaneous</v>
      </c>
      <c r="G255" s="33" t="str">
        <f>IFERROR(__xludf.DUMMYFUNCTION("""COMPUTED_VALUE"""),"Pet")</f>
        <v>Pet</v>
      </c>
      <c r="H255" s="33" t="str">
        <f>IFERROR(__xludf.DUMMYFUNCTION("""COMPUTED_VALUE"""),"Transportation")</f>
        <v>Transportation</v>
      </c>
      <c r="I255" s="33"/>
      <c r="J255" s="33"/>
      <c r="K255" s="33"/>
    </row>
    <row r="256">
      <c r="A256" s="33" t="str">
        <f>IFERROR(__xludf.DUMMYFUNCTION("""COMPUTED_VALUE"""),"Debt")</f>
        <v>Debt</v>
      </c>
      <c r="B256" s="33" t="str">
        <f>IFERROR(__xludf.DUMMYFUNCTION("""COMPUTED_VALUE"""),"Groceries")</f>
        <v>Groceries</v>
      </c>
      <c r="C256" s="33" t="str">
        <f>IFERROR(__xludf.DUMMYFUNCTION("""COMPUTED_VALUE"""),"Healthcare")</f>
        <v>Healthcare</v>
      </c>
      <c r="D256" s="33" t="str">
        <f>IFERROR(__xludf.DUMMYFUNCTION("""COMPUTED_VALUE"""),"Household Items")</f>
        <v>Household Items</v>
      </c>
      <c r="E256" s="33" t="str">
        <f>IFERROR(__xludf.DUMMYFUNCTION("""COMPUTED_VALUE"""),"Housing")</f>
        <v>Housing</v>
      </c>
      <c r="F256" s="33" t="str">
        <f>IFERROR(__xludf.DUMMYFUNCTION("""COMPUTED_VALUE"""),"Miscellaneous")</f>
        <v>Miscellaneous</v>
      </c>
      <c r="G256" s="33" t="str">
        <f>IFERROR(__xludf.DUMMYFUNCTION("""COMPUTED_VALUE"""),"Pet")</f>
        <v>Pet</v>
      </c>
      <c r="H256" s="33" t="str">
        <f>IFERROR(__xludf.DUMMYFUNCTION("""COMPUTED_VALUE"""),"Transportation")</f>
        <v>Transportation</v>
      </c>
      <c r="I256" s="33"/>
      <c r="J256" s="33"/>
      <c r="K256" s="33"/>
    </row>
    <row r="257">
      <c r="A257" s="33" t="str">
        <f>IFERROR(__xludf.DUMMYFUNCTION("""COMPUTED_VALUE"""),"Debt")</f>
        <v>Debt</v>
      </c>
      <c r="B257" s="33" t="str">
        <f>IFERROR(__xludf.DUMMYFUNCTION("""COMPUTED_VALUE"""),"Groceries")</f>
        <v>Groceries</v>
      </c>
      <c r="C257" s="33" t="str">
        <f>IFERROR(__xludf.DUMMYFUNCTION("""COMPUTED_VALUE"""),"Healthcare")</f>
        <v>Healthcare</v>
      </c>
      <c r="D257" s="33" t="str">
        <f>IFERROR(__xludf.DUMMYFUNCTION("""COMPUTED_VALUE"""),"Household Items")</f>
        <v>Household Items</v>
      </c>
      <c r="E257" s="33" t="str">
        <f>IFERROR(__xludf.DUMMYFUNCTION("""COMPUTED_VALUE"""),"Housing")</f>
        <v>Housing</v>
      </c>
      <c r="F257" s="33" t="str">
        <f>IFERROR(__xludf.DUMMYFUNCTION("""COMPUTED_VALUE"""),"Miscellaneous")</f>
        <v>Miscellaneous</v>
      </c>
      <c r="G257" s="33" t="str">
        <f>IFERROR(__xludf.DUMMYFUNCTION("""COMPUTED_VALUE"""),"Pet")</f>
        <v>Pet</v>
      </c>
      <c r="H257" s="33" t="str">
        <f>IFERROR(__xludf.DUMMYFUNCTION("""COMPUTED_VALUE"""),"Transportation")</f>
        <v>Transportation</v>
      </c>
      <c r="I257" s="33"/>
      <c r="J257" s="33"/>
      <c r="K257" s="33"/>
    </row>
    <row r="258">
      <c r="A258" s="33" t="str">
        <f>IFERROR(__xludf.DUMMYFUNCTION("""COMPUTED_VALUE"""),"Clothing")</f>
        <v>Clothing</v>
      </c>
      <c r="B258" s="33" t="str">
        <f>IFERROR(__xludf.DUMMYFUNCTION("""COMPUTED_VALUE"""),"Gifts")</f>
        <v>Gifts</v>
      </c>
      <c r="C258" s="33" t="str">
        <f>IFERROR(__xludf.DUMMYFUNCTION("""COMPUTED_VALUE"""),"Healthcare")</f>
        <v>Healthcare</v>
      </c>
      <c r="D258" s="33" t="str">
        <f>IFERROR(__xludf.DUMMYFUNCTION("""COMPUTED_VALUE"""),"Hobbies")</f>
        <v>Hobbies</v>
      </c>
      <c r="E258" s="33" t="str">
        <f>IFERROR(__xludf.DUMMYFUNCTION("""COMPUTED_VALUE"""),"Organization")</f>
        <v>Organization</v>
      </c>
      <c r="F258" s="33"/>
      <c r="G258" s="33"/>
      <c r="H258" s="33"/>
      <c r="I258" s="33"/>
      <c r="J258" s="33"/>
      <c r="K258" s="33"/>
    </row>
    <row r="259">
      <c r="A259" s="33" t="str">
        <f>IFERROR(__xludf.DUMMYFUNCTION("""COMPUTED_VALUE"""),"Debt")</f>
        <v>Debt</v>
      </c>
      <c r="B259" s="33" t="str">
        <f>IFERROR(__xludf.DUMMYFUNCTION("""COMPUTED_VALUE"""),"Groceries")</f>
        <v>Groceries</v>
      </c>
      <c r="C259" s="33" t="str">
        <f>IFERROR(__xludf.DUMMYFUNCTION("""COMPUTED_VALUE"""),"Healthcare")</f>
        <v>Healthcare</v>
      </c>
      <c r="D259" s="33" t="str">
        <f>IFERROR(__xludf.DUMMYFUNCTION("""COMPUTED_VALUE"""),"Household Items")</f>
        <v>Household Items</v>
      </c>
      <c r="E259" s="33" t="str">
        <f>IFERROR(__xludf.DUMMYFUNCTION("""COMPUTED_VALUE"""),"Housing")</f>
        <v>Housing</v>
      </c>
      <c r="F259" s="33" t="str">
        <f>IFERROR(__xludf.DUMMYFUNCTION("""COMPUTED_VALUE"""),"Miscellaneous")</f>
        <v>Miscellaneous</v>
      </c>
      <c r="G259" s="33" t="str">
        <f>IFERROR(__xludf.DUMMYFUNCTION("""COMPUTED_VALUE"""),"Pet")</f>
        <v>Pet</v>
      </c>
      <c r="H259" s="33" t="str">
        <f>IFERROR(__xludf.DUMMYFUNCTION("""COMPUTED_VALUE"""),"Transportation")</f>
        <v>Transportation</v>
      </c>
      <c r="I259" s="33"/>
      <c r="J259" s="33"/>
      <c r="K259" s="33"/>
    </row>
    <row r="260">
      <c r="A260" s="33" t="str">
        <f>IFERROR(__xludf.DUMMYFUNCTION("""COMPUTED_VALUE"""),"Debt")</f>
        <v>Debt</v>
      </c>
      <c r="B260" s="33" t="str">
        <f>IFERROR(__xludf.DUMMYFUNCTION("""COMPUTED_VALUE"""),"Groceries")</f>
        <v>Groceries</v>
      </c>
      <c r="C260" s="33" t="str">
        <f>IFERROR(__xludf.DUMMYFUNCTION("""COMPUTED_VALUE"""),"Healthcare")</f>
        <v>Healthcare</v>
      </c>
      <c r="D260" s="33" t="str">
        <f>IFERROR(__xludf.DUMMYFUNCTION("""COMPUTED_VALUE"""),"Household Items")</f>
        <v>Household Items</v>
      </c>
      <c r="E260" s="33" t="str">
        <f>IFERROR(__xludf.DUMMYFUNCTION("""COMPUTED_VALUE"""),"Housing")</f>
        <v>Housing</v>
      </c>
      <c r="F260" s="33" t="str">
        <f>IFERROR(__xludf.DUMMYFUNCTION("""COMPUTED_VALUE"""),"Miscellaneous")</f>
        <v>Miscellaneous</v>
      </c>
      <c r="G260" s="33" t="str">
        <f>IFERROR(__xludf.DUMMYFUNCTION("""COMPUTED_VALUE"""),"Pet")</f>
        <v>Pet</v>
      </c>
      <c r="H260" s="33" t="str">
        <f>IFERROR(__xludf.DUMMYFUNCTION("""COMPUTED_VALUE"""),"Transportation")</f>
        <v>Transportation</v>
      </c>
      <c r="I260" s="33"/>
      <c r="J260" s="33"/>
      <c r="K260" s="33"/>
    </row>
    <row r="261">
      <c r="A261" s="33" t="str">
        <f>IFERROR(__xludf.DUMMYFUNCTION("""COMPUTED_VALUE"""),"Debt")</f>
        <v>Debt</v>
      </c>
      <c r="B261" s="33" t="str">
        <f>IFERROR(__xludf.DUMMYFUNCTION("""COMPUTED_VALUE"""),"Groceries")</f>
        <v>Groceries</v>
      </c>
      <c r="C261" s="33" t="str">
        <f>IFERROR(__xludf.DUMMYFUNCTION("""COMPUTED_VALUE"""),"Healthcare")</f>
        <v>Healthcare</v>
      </c>
      <c r="D261" s="33" t="str">
        <f>IFERROR(__xludf.DUMMYFUNCTION("""COMPUTED_VALUE"""),"Household Items")</f>
        <v>Household Items</v>
      </c>
      <c r="E261" s="33" t="str">
        <f>IFERROR(__xludf.DUMMYFUNCTION("""COMPUTED_VALUE"""),"Housing")</f>
        <v>Housing</v>
      </c>
      <c r="F261" s="33" t="str">
        <f>IFERROR(__xludf.DUMMYFUNCTION("""COMPUTED_VALUE"""),"Miscellaneous")</f>
        <v>Miscellaneous</v>
      </c>
      <c r="G261" s="33" t="str">
        <f>IFERROR(__xludf.DUMMYFUNCTION("""COMPUTED_VALUE"""),"Pet")</f>
        <v>Pet</v>
      </c>
      <c r="H261" s="33" t="str">
        <f>IFERROR(__xludf.DUMMYFUNCTION("""COMPUTED_VALUE"""),"Transportation")</f>
        <v>Transportation</v>
      </c>
      <c r="I261" s="33"/>
      <c r="J261" s="33"/>
      <c r="K261" s="33"/>
    </row>
    <row r="262">
      <c r="A262" s="33" t="str">
        <f>IFERROR(__xludf.DUMMYFUNCTION("""COMPUTED_VALUE"""),"Deposit")</f>
        <v>Deposit</v>
      </c>
      <c r="B262" s="33" t="str">
        <f>IFERROR(__xludf.DUMMYFUNCTION("""COMPUTED_VALUE"""),"Withdrawal")</f>
        <v>Withdrawal</v>
      </c>
      <c r="C262" s="33"/>
      <c r="D262" s="33"/>
      <c r="E262" s="33"/>
      <c r="F262" s="33"/>
      <c r="G262" s="33"/>
      <c r="H262" s="33"/>
      <c r="I262" s="33"/>
      <c r="J262" s="33"/>
      <c r="K262" s="33"/>
    </row>
    <row r="263">
      <c r="A263" s="33" t="str">
        <f>IFERROR(__xludf.DUMMYFUNCTION("""COMPUTED_VALUE"""),"Deposit")</f>
        <v>Deposit</v>
      </c>
      <c r="B263" s="33" t="str">
        <f>IFERROR(__xludf.DUMMYFUNCTION("""COMPUTED_VALUE"""),"Withdrawal")</f>
        <v>Withdrawal</v>
      </c>
      <c r="C263" s="33"/>
      <c r="D263" s="33"/>
      <c r="E263" s="33"/>
      <c r="F263" s="33"/>
      <c r="G263" s="33"/>
      <c r="H263" s="33"/>
      <c r="I263" s="33"/>
      <c r="J263" s="33"/>
      <c r="K263" s="33"/>
    </row>
    <row r="264">
      <c r="A264" s="33" t="str">
        <f>IFERROR(__xludf.DUMMYFUNCTION("""COMPUTED_VALUE"""),"Clothing")</f>
        <v>Clothing</v>
      </c>
      <c r="B264" s="33" t="str">
        <f>IFERROR(__xludf.DUMMYFUNCTION("""COMPUTED_VALUE"""),"Gifts")</f>
        <v>Gifts</v>
      </c>
      <c r="C264" s="33" t="str">
        <f>IFERROR(__xludf.DUMMYFUNCTION("""COMPUTED_VALUE"""),"Healthcare")</f>
        <v>Healthcare</v>
      </c>
      <c r="D264" s="33" t="str">
        <f>IFERROR(__xludf.DUMMYFUNCTION("""COMPUTED_VALUE"""),"Hobbies")</f>
        <v>Hobbies</v>
      </c>
      <c r="E264" s="33" t="str">
        <f>IFERROR(__xludf.DUMMYFUNCTION("""COMPUTED_VALUE"""),"Organization")</f>
        <v>Organization</v>
      </c>
      <c r="F264" s="33"/>
      <c r="G264" s="33"/>
      <c r="H264" s="33"/>
      <c r="I264" s="33"/>
      <c r="J264" s="33"/>
      <c r="K264" s="33"/>
    </row>
    <row r="265">
      <c r="A265" s="33" t="str">
        <f>IFERROR(__xludf.DUMMYFUNCTION("""COMPUTED_VALUE"""),"Debt")</f>
        <v>Debt</v>
      </c>
      <c r="B265" s="33" t="str">
        <f>IFERROR(__xludf.DUMMYFUNCTION("""COMPUTED_VALUE"""),"Groceries")</f>
        <v>Groceries</v>
      </c>
      <c r="C265" s="33" t="str">
        <f>IFERROR(__xludf.DUMMYFUNCTION("""COMPUTED_VALUE"""),"Healthcare")</f>
        <v>Healthcare</v>
      </c>
      <c r="D265" s="33" t="str">
        <f>IFERROR(__xludf.DUMMYFUNCTION("""COMPUTED_VALUE"""),"Household Items")</f>
        <v>Household Items</v>
      </c>
      <c r="E265" s="33" t="str">
        <f>IFERROR(__xludf.DUMMYFUNCTION("""COMPUTED_VALUE"""),"Housing")</f>
        <v>Housing</v>
      </c>
      <c r="F265" s="33" t="str">
        <f>IFERROR(__xludf.DUMMYFUNCTION("""COMPUTED_VALUE"""),"Miscellaneous")</f>
        <v>Miscellaneous</v>
      </c>
      <c r="G265" s="33" t="str">
        <f>IFERROR(__xludf.DUMMYFUNCTION("""COMPUTED_VALUE"""),"Pet")</f>
        <v>Pet</v>
      </c>
      <c r="H265" s="33" t="str">
        <f>IFERROR(__xludf.DUMMYFUNCTION("""COMPUTED_VALUE"""),"Transportation")</f>
        <v>Transportation</v>
      </c>
      <c r="I265" s="33"/>
      <c r="J265" s="33"/>
      <c r="K265" s="33"/>
    </row>
    <row r="266">
      <c r="A266" s="33" t="str">
        <f>IFERROR(__xludf.DUMMYFUNCTION("""COMPUTED_VALUE"""),"Debt")</f>
        <v>Debt</v>
      </c>
      <c r="B266" s="33" t="str">
        <f>IFERROR(__xludf.DUMMYFUNCTION("""COMPUTED_VALUE"""),"Groceries")</f>
        <v>Groceries</v>
      </c>
      <c r="C266" s="33" t="str">
        <f>IFERROR(__xludf.DUMMYFUNCTION("""COMPUTED_VALUE"""),"Healthcare")</f>
        <v>Healthcare</v>
      </c>
      <c r="D266" s="33" t="str">
        <f>IFERROR(__xludf.DUMMYFUNCTION("""COMPUTED_VALUE"""),"Household Items")</f>
        <v>Household Items</v>
      </c>
      <c r="E266" s="33" t="str">
        <f>IFERROR(__xludf.DUMMYFUNCTION("""COMPUTED_VALUE"""),"Housing")</f>
        <v>Housing</v>
      </c>
      <c r="F266" s="33" t="str">
        <f>IFERROR(__xludf.DUMMYFUNCTION("""COMPUTED_VALUE"""),"Miscellaneous")</f>
        <v>Miscellaneous</v>
      </c>
      <c r="G266" s="33" t="str">
        <f>IFERROR(__xludf.DUMMYFUNCTION("""COMPUTED_VALUE"""),"Pet")</f>
        <v>Pet</v>
      </c>
      <c r="H266" s="33" t="str">
        <f>IFERROR(__xludf.DUMMYFUNCTION("""COMPUTED_VALUE"""),"Transportation")</f>
        <v>Transportation</v>
      </c>
      <c r="I266" s="33"/>
      <c r="J266" s="33"/>
      <c r="K266" s="33"/>
    </row>
    <row r="267">
      <c r="A267" s="33" t="str">
        <f>IFERROR(__xludf.DUMMYFUNCTION("""COMPUTED_VALUE"""),"Dining Out")</f>
        <v>Dining Out</v>
      </c>
      <c r="B267" s="33" t="str">
        <f>IFERROR(__xludf.DUMMYFUNCTION("""COMPUTED_VALUE"""),"Entertainment")</f>
        <v>Entertainment</v>
      </c>
      <c r="C267" s="33" t="str">
        <f>IFERROR(__xludf.DUMMYFUNCTION("""COMPUTED_VALUE"""),"Gaming")</f>
        <v>Gaming</v>
      </c>
      <c r="D267" s="33" t="str">
        <f>IFERROR(__xludf.DUMMYFUNCTION("""COMPUTED_VALUE"""),"Gifts")</f>
        <v>Gifts</v>
      </c>
      <c r="E267" s="33" t="str">
        <f>IFERROR(__xludf.DUMMYFUNCTION("""COMPUTED_VALUE"""),"Groceries")</f>
        <v>Groceries</v>
      </c>
      <c r="F267" s="33" t="str">
        <f>IFERROR(__xludf.DUMMYFUNCTION("""COMPUTED_VALUE"""),"Healthcare")</f>
        <v>Healthcare</v>
      </c>
      <c r="G267" s="33" t="str">
        <f>IFERROR(__xludf.DUMMYFUNCTION("""COMPUTED_VALUE"""),"Hobbies")</f>
        <v>Hobbies</v>
      </c>
      <c r="H267" s="33" t="str">
        <f>IFERROR(__xludf.DUMMYFUNCTION("""COMPUTED_VALUE"""),"Household Items")</f>
        <v>Household Items</v>
      </c>
      <c r="I267" s="33" t="str">
        <f>IFERROR(__xludf.DUMMYFUNCTION("""COMPUTED_VALUE"""),"Subscriptions")</f>
        <v>Subscriptions</v>
      </c>
      <c r="J267" s="33" t="str">
        <f>IFERROR(__xludf.DUMMYFUNCTION("""COMPUTED_VALUE"""),"Transportation")</f>
        <v>Transportation</v>
      </c>
      <c r="K267" s="33" t="str">
        <f>IFERROR(__xludf.DUMMYFUNCTION("""COMPUTED_VALUE"""),"Travel")</f>
        <v>Travel</v>
      </c>
    </row>
    <row r="268">
      <c r="A268" s="33" t="str">
        <f>IFERROR(__xludf.DUMMYFUNCTION("""COMPUTED_VALUE"""),"Debt")</f>
        <v>Debt</v>
      </c>
      <c r="B268" s="33" t="str">
        <f>IFERROR(__xludf.DUMMYFUNCTION("""COMPUTED_VALUE"""),"Groceries")</f>
        <v>Groceries</v>
      </c>
      <c r="C268" s="33" t="str">
        <f>IFERROR(__xludf.DUMMYFUNCTION("""COMPUTED_VALUE"""),"Healthcare")</f>
        <v>Healthcare</v>
      </c>
      <c r="D268" s="33" t="str">
        <f>IFERROR(__xludf.DUMMYFUNCTION("""COMPUTED_VALUE"""),"Household Items")</f>
        <v>Household Items</v>
      </c>
      <c r="E268" s="33" t="str">
        <f>IFERROR(__xludf.DUMMYFUNCTION("""COMPUTED_VALUE"""),"Housing")</f>
        <v>Housing</v>
      </c>
      <c r="F268" s="33" t="str">
        <f>IFERROR(__xludf.DUMMYFUNCTION("""COMPUTED_VALUE"""),"Miscellaneous")</f>
        <v>Miscellaneous</v>
      </c>
      <c r="G268" s="33" t="str">
        <f>IFERROR(__xludf.DUMMYFUNCTION("""COMPUTED_VALUE"""),"Pet")</f>
        <v>Pet</v>
      </c>
      <c r="H268" s="33" t="str">
        <f>IFERROR(__xludf.DUMMYFUNCTION("""COMPUTED_VALUE"""),"Transportation")</f>
        <v>Transportation</v>
      </c>
      <c r="I268" s="33"/>
      <c r="J268" s="33"/>
      <c r="K268" s="33"/>
    </row>
    <row r="269">
      <c r="A269" s="33" t="str">
        <f>IFERROR(__xludf.DUMMYFUNCTION("""COMPUTED_VALUE"""),"Debt")</f>
        <v>Debt</v>
      </c>
      <c r="B269" s="33" t="str">
        <f>IFERROR(__xludf.DUMMYFUNCTION("""COMPUTED_VALUE"""),"Groceries")</f>
        <v>Groceries</v>
      </c>
      <c r="C269" s="33" t="str">
        <f>IFERROR(__xludf.DUMMYFUNCTION("""COMPUTED_VALUE"""),"Healthcare")</f>
        <v>Healthcare</v>
      </c>
      <c r="D269" s="33" t="str">
        <f>IFERROR(__xludf.DUMMYFUNCTION("""COMPUTED_VALUE"""),"Household Items")</f>
        <v>Household Items</v>
      </c>
      <c r="E269" s="33" t="str">
        <f>IFERROR(__xludf.DUMMYFUNCTION("""COMPUTED_VALUE"""),"Housing")</f>
        <v>Housing</v>
      </c>
      <c r="F269" s="33" t="str">
        <f>IFERROR(__xludf.DUMMYFUNCTION("""COMPUTED_VALUE"""),"Miscellaneous")</f>
        <v>Miscellaneous</v>
      </c>
      <c r="G269" s="33" t="str">
        <f>IFERROR(__xludf.DUMMYFUNCTION("""COMPUTED_VALUE"""),"Pet")</f>
        <v>Pet</v>
      </c>
      <c r="H269" s="33" t="str">
        <f>IFERROR(__xludf.DUMMYFUNCTION("""COMPUTED_VALUE"""),"Transportation")</f>
        <v>Transportation</v>
      </c>
      <c r="I269" s="33"/>
      <c r="J269" s="33"/>
      <c r="K269" s="33"/>
    </row>
    <row r="270">
      <c r="A270" s="33" t="str">
        <f>IFERROR(__xludf.DUMMYFUNCTION("""COMPUTED_VALUE"""),"Debt")</f>
        <v>Debt</v>
      </c>
      <c r="B270" s="33" t="str">
        <f>IFERROR(__xludf.DUMMYFUNCTION("""COMPUTED_VALUE"""),"Groceries")</f>
        <v>Groceries</v>
      </c>
      <c r="C270" s="33" t="str">
        <f>IFERROR(__xludf.DUMMYFUNCTION("""COMPUTED_VALUE"""),"Healthcare")</f>
        <v>Healthcare</v>
      </c>
      <c r="D270" s="33" t="str">
        <f>IFERROR(__xludf.DUMMYFUNCTION("""COMPUTED_VALUE"""),"Household Items")</f>
        <v>Household Items</v>
      </c>
      <c r="E270" s="33" t="str">
        <f>IFERROR(__xludf.DUMMYFUNCTION("""COMPUTED_VALUE"""),"Housing")</f>
        <v>Housing</v>
      </c>
      <c r="F270" s="33" t="str">
        <f>IFERROR(__xludf.DUMMYFUNCTION("""COMPUTED_VALUE"""),"Miscellaneous")</f>
        <v>Miscellaneous</v>
      </c>
      <c r="G270" s="33" t="str">
        <f>IFERROR(__xludf.DUMMYFUNCTION("""COMPUTED_VALUE"""),"Pet")</f>
        <v>Pet</v>
      </c>
      <c r="H270" s="33" t="str">
        <f>IFERROR(__xludf.DUMMYFUNCTION("""COMPUTED_VALUE"""),"Transportation")</f>
        <v>Transportation</v>
      </c>
      <c r="I270" s="33"/>
      <c r="J270" s="33"/>
      <c r="K270" s="33"/>
    </row>
    <row r="271">
      <c r="A271" s="33" t="str">
        <f>IFERROR(__xludf.DUMMYFUNCTION("""COMPUTED_VALUE"""),"Debt")</f>
        <v>Debt</v>
      </c>
      <c r="B271" s="33" t="str">
        <f>IFERROR(__xludf.DUMMYFUNCTION("""COMPUTED_VALUE"""),"Groceries")</f>
        <v>Groceries</v>
      </c>
      <c r="C271" s="33" t="str">
        <f>IFERROR(__xludf.DUMMYFUNCTION("""COMPUTED_VALUE"""),"Healthcare")</f>
        <v>Healthcare</v>
      </c>
      <c r="D271" s="33" t="str">
        <f>IFERROR(__xludf.DUMMYFUNCTION("""COMPUTED_VALUE"""),"Household Items")</f>
        <v>Household Items</v>
      </c>
      <c r="E271" s="33" t="str">
        <f>IFERROR(__xludf.DUMMYFUNCTION("""COMPUTED_VALUE"""),"Housing")</f>
        <v>Housing</v>
      </c>
      <c r="F271" s="33" t="str">
        <f>IFERROR(__xludf.DUMMYFUNCTION("""COMPUTED_VALUE"""),"Miscellaneous")</f>
        <v>Miscellaneous</v>
      </c>
      <c r="G271" s="33" t="str">
        <f>IFERROR(__xludf.DUMMYFUNCTION("""COMPUTED_VALUE"""),"Pet")</f>
        <v>Pet</v>
      </c>
      <c r="H271" s="33" t="str">
        <f>IFERROR(__xludf.DUMMYFUNCTION("""COMPUTED_VALUE"""),"Transportation")</f>
        <v>Transportation</v>
      </c>
      <c r="I271" s="33"/>
      <c r="J271" s="33"/>
      <c r="K271" s="33"/>
    </row>
    <row r="272">
      <c r="A272" s="33" t="str">
        <f>IFERROR(__xludf.DUMMYFUNCTION("""COMPUTED_VALUE"""),"Debt")</f>
        <v>Debt</v>
      </c>
      <c r="B272" s="33" t="str">
        <f>IFERROR(__xludf.DUMMYFUNCTION("""COMPUTED_VALUE"""),"Groceries")</f>
        <v>Groceries</v>
      </c>
      <c r="C272" s="33" t="str">
        <f>IFERROR(__xludf.DUMMYFUNCTION("""COMPUTED_VALUE"""),"Healthcare")</f>
        <v>Healthcare</v>
      </c>
      <c r="D272" s="33" t="str">
        <f>IFERROR(__xludf.DUMMYFUNCTION("""COMPUTED_VALUE"""),"Household Items")</f>
        <v>Household Items</v>
      </c>
      <c r="E272" s="33" t="str">
        <f>IFERROR(__xludf.DUMMYFUNCTION("""COMPUTED_VALUE"""),"Housing")</f>
        <v>Housing</v>
      </c>
      <c r="F272" s="33" t="str">
        <f>IFERROR(__xludf.DUMMYFUNCTION("""COMPUTED_VALUE"""),"Miscellaneous")</f>
        <v>Miscellaneous</v>
      </c>
      <c r="G272" s="33" t="str">
        <f>IFERROR(__xludf.DUMMYFUNCTION("""COMPUTED_VALUE"""),"Pet")</f>
        <v>Pet</v>
      </c>
      <c r="H272" s="33" t="str">
        <f>IFERROR(__xludf.DUMMYFUNCTION("""COMPUTED_VALUE"""),"Transportation")</f>
        <v>Transportation</v>
      </c>
      <c r="I272" s="33"/>
      <c r="J272" s="33"/>
      <c r="K272" s="33"/>
    </row>
    <row r="273">
      <c r="A273" s="33" t="str">
        <f>IFERROR(__xludf.DUMMYFUNCTION("""COMPUTED_VALUE"""),"Cashback")</f>
        <v>Cashback</v>
      </c>
      <c r="B273" s="33" t="str">
        <f>IFERROR(__xludf.DUMMYFUNCTION("""COMPUTED_VALUE"""),"Investment Returns")</f>
        <v>Investment Returns</v>
      </c>
      <c r="C273" s="33" t="str">
        <f>IFERROR(__xludf.DUMMYFUNCTION("""COMPUTED_VALUE"""),"Paycheck")</f>
        <v>Paycheck</v>
      </c>
      <c r="D273" s="33" t="str">
        <f>IFERROR(__xludf.DUMMYFUNCTION("""COMPUTED_VALUE"""),"Reimbursement")</f>
        <v>Reimbursement</v>
      </c>
      <c r="E273" s="33" t="str">
        <f>IFERROR(__xludf.DUMMYFUNCTION("""COMPUTED_VALUE"""),"Rewards")</f>
        <v>Rewards</v>
      </c>
      <c r="F273" s="33"/>
      <c r="G273" s="33"/>
      <c r="H273" s="33"/>
      <c r="I273" s="33"/>
      <c r="J273" s="33"/>
      <c r="K273" s="33"/>
    </row>
    <row r="274">
      <c r="A274" s="33" t="str">
        <f>IFERROR(__xludf.DUMMYFUNCTION("""COMPUTED_VALUE"""),"Cashback")</f>
        <v>Cashback</v>
      </c>
      <c r="B274" s="33" t="str">
        <f>IFERROR(__xludf.DUMMYFUNCTION("""COMPUTED_VALUE"""),"Investment Returns")</f>
        <v>Investment Returns</v>
      </c>
      <c r="C274" s="33" t="str">
        <f>IFERROR(__xludf.DUMMYFUNCTION("""COMPUTED_VALUE"""),"Paycheck")</f>
        <v>Paycheck</v>
      </c>
      <c r="D274" s="33" t="str">
        <f>IFERROR(__xludf.DUMMYFUNCTION("""COMPUTED_VALUE"""),"Reimbursement")</f>
        <v>Reimbursement</v>
      </c>
      <c r="E274" s="33" t="str">
        <f>IFERROR(__xludf.DUMMYFUNCTION("""COMPUTED_VALUE"""),"Rewards")</f>
        <v>Rewards</v>
      </c>
      <c r="F274" s="33"/>
      <c r="G274" s="33"/>
      <c r="H274" s="33"/>
      <c r="I274" s="33"/>
      <c r="J274" s="33"/>
      <c r="K274" s="33"/>
    </row>
    <row r="275">
      <c r="A275" s="33" t="str">
        <f>IFERROR(__xludf.DUMMYFUNCTION("""COMPUTED_VALUE"""),"Dining Out")</f>
        <v>Dining Out</v>
      </c>
      <c r="B275" s="33" t="str">
        <f>IFERROR(__xludf.DUMMYFUNCTION("""COMPUTED_VALUE"""),"Entertainment")</f>
        <v>Entertainment</v>
      </c>
      <c r="C275" s="33" t="str">
        <f>IFERROR(__xludf.DUMMYFUNCTION("""COMPUTED_VALUE"""),"Gaming")</f>
        <v>Gaming</v>
      </c>
      <c r="D275" s="33" t="str">
        <f>IFERROR(__xludf.DUMMYFUNCTION("""COMPUTED_VALUE"""),"Gifts")</f>
        <v>Gifts</v>
      </c>
      <c r="E275" s="33" t="str">
        <f>IFERROR(__xludf.DUMMYFUNCTION("""COMPUTED_VALUE"""),"Groceries")</f>
        <v>Groceries</v>
      </c>
      <c r="F275" s="33" t="str">
        <f>IFERROR(__xludf.DUMMYFUNCTION("""COMPUTED_VALUE"""),"Healthcare")</f>
        <v>Healthcare</v>
      </c>
      <c r="G275" s="33" t="str">
        <f>IFERROR(__xludf.DUMMYFUNCTION("""COMPUTED_VALUE"""),"Hobbies")</f>
        <v>Hobbies</v>
      </c>
      <c r="H275" s="33" t="str">
        <f>IFERROR(__xludf.DUMMYFUNCTION("""COMPUTED_VALUE"""),"Household Items")</f>
        <v>Household Items</v>
      </c>
      <c r="I275" s="33" t="str">
        <f>IFERROR(__xludf.DUMMYFUNCTION("""COMPUTED_VALUE"""),"Subscriptions")</f>
        <v>Subscriptions</v>
      </c>
      <c r="J275" s="33" t="str">
        <f>IFERROR(__xludf.DUMMYFUNCTION("""COMPUTED_VALUE"""),"Transportation")</f>
        <v>Transportation</v>
      </c>
      <c r="K275" s="33" t="str">
        <f>IFERROR(__xludf.DUMMYFUNCTION("""COMPUTED_VALUE"""),"Travel")</f>
        <v>Travel</v>
      </c>
    </row>
    <row r="276">
      <c r="A276" s="33" t="str">
        <f>IFERROR(__xludf.DUMMYFUNCTION("""COMPUTED_VALUE"""),"Deposit")</f>
        <v>Deposit</v>
      </c>
      <c r="B276" s="33" t="str">
        <f>IFERROR(__xludf.DUMMYFUNCTION("""COMPUTED_VALUE"""),"Withdrawal")</f>
        <v>Withdrawal</v>
      </c>
      <c r="C276" s="33"/>
      <c r="D276" s="33"/>
      <c r="E276" s="33"/>
      <c r="F276" s="33"/>
      <c r="G276" s="33"/>
      <c r="H276" s="33"/>
      <c r="I276" s="33"/>
      <c r="J276" s="33"/>
      <c r="K276" s="33"/>
    </row>
    <row r="277">
      <c r="A277" s="33" t="str">
        <f>IFERROR(__xludf.DUMMYFUNCTION("""COMPUTED_VALUE"""),"Deposit")</f>
        <v>Deposit</v>
      </c>
      <c r="B277" s="33" t="str">
        <f>IFERROR(__xludf.DUMMYFUNCTION("""COMPUTED_VALUE"""),"Withdrawal")</f>
        <v>Withdrawal</v>
      </c>
      <c r="C277" s="33"/>
      <c r="D277" s="33"/>
      <c r="E277" s="33"/>
      <c r="F277" s="33"/>
      <c r="G277" s="33"/>
      <c r="H277" s="33"/>
      <c r="I277" s="33"/>
      <c r="J277" s="33"/>
      <c r="K277" s="33"/>
    </row>
    <row r="278">
      <c r="A278" s="33" t="str">
        <f>IFERROR(__xludf.DUMMYFUNCTION("""COMPUTED_VALUE"""),"Debt")</f>
        <v>Debt</v>
      </c>
      <c r="B278" s="33" t="str">
        <f>IFERROR(__xludf.DUMMYFUNCTION("""COMPUTED_VALUE"""),"Groceries")</f>
        <v>Groceries</v>
      </c>
      <c r="C278" s="33" t="str">
        <f>IFERROR(__xludf.DUMMYFUNCTION("""COMPUTED_VALUE"""),"Healthcare")</f>
        <v>Healthcare</v>
      </c>
      <c r="D278" s="33" t="str">
        <f>IFERROR(__xludf.DUMMYFUNCTION("""COMPUTED_VALUE"""),"Household Items")</f>
        <v>Household Items</v>
      </c>
      <c r="E278" s="33" t="str">
        <f>IFERROR(__xludf.DUMMYFUNCTION("""COMPUTED_VALUE"""),"Housing")</f>
        <v>Housing</v>
      </c>
      <c r="F278" s="33" t="str">
        <f>IFERROR(__xludf.DUMMYFUNCTION("""COMPUTED_VALUE"""),"Miscellaneous")</f>
        <v>Miscellaneous</v>
      </c>
      <c r="G278" s="33" t="str">
        <f>IFERROR(__xludf.DUMMYFUNCTION("""COMPUTED_VALUE"""),"Pet")</f>
        <v>Pet</v>
      </c>
      <c r="H278" s="33" t="str">
        <f>IFERROR(__xludf.DUMMYFUNCTION("""COMPUTED_VALUE"""),"Transportation")</f>
        <v>Transportation</v>
      </c>
      <c r="I278" s="33"/>
      <c r="J278" s="33"/>
      <c r="K278" s="33"/>
    </row>
    <row r="279">
      <c r="A279" s="33" t="str">
        <f>IFERROR(__xludf.DUMMYFUNCTION("""COMPUTED_VALUE"""),"Debt")</f>
        <v>Debt</v>
      </c>
      <c r="B279" s="33" t="str">
        <f>IFERROR(__xludf.DUMMYFUNCTION("""COMPUTED_VALUE"""),"Groceries")</f>
        <v>Groceries</v>
      </c>
      <c r="C279" s="33" t="str">
        <f>IFERROR(__xludf.DUMMYFUNCTION("""COMPUTED_VALUE"""),"Healthcare")</f>
        <v>Healthcare</v>
      </c>
      <c r="D279" s="33" t="str">
        <f>IFERROR(__xludf.DUMMYFUNCTION("""COMPUTED_VALUE"""),"Household Items")</f>
        <v>Household Items</v>
      </c>
      <c r="E279" s="33" t="str">
        <f>IFERROR(__xludf.DUMMYFUNCTION("""COMPUTED_VALUE"""),"Housing")</f>
        <v>Housing</v>
      </c>
      <c r="F279" s="33" t="str">
        <f>IFERROR(__xludf.DUMMYFUNCTION("""COMPUTED_VALUE"""),"Miscellaneous")</f>
        <v>Miscellaneous</v>
      </c>
      <c r="G279" s="33" t="str">
        <f>IFERROR(__xludf.DUMMYFUNCTION("""COMPUTED_VALUE"""),"Pet")</f>
        <v>Pet</v>
      </c>
      <c r="H279" s="33" t="str">
        <f>IFERROR(__xludf.DUMMYFUNCTION("""COMPUTED_VALUE"""),"Transportation")</f>
        <v>Transportation</v>
      </c>
      <c r="I279" s="33"/>
      <c r="J279" s="33"/>
      <c r="K279" s="33"/>
    </row>
    <row r="280">
      <c r="A280" s="33" t="str">
        <f>IFERROR(__xludf.DUMMYFUNCTION("""COMPUTED_VALUE"""),"Debt")</f>
        <v>Debt</v>
      </c>
      <c r="B280" s="33" t="str">
        <f>IFERROR(__xludf.DUMMYFUNCTION("""COMPUTED_VALUE"""),"Groceries")</f>
        <v>Groceries</v>
      </c>
      <c r="C280" s="33" t="str">
        <f>IFERROR(__xludf.DUMMYFUNCTION("""COMPUTED_VALUE"""),"Healthcare")</f>
        <v>Healthcare</v>
      </c>
      <c r="D280" s="33" t="str">
        <f>IFERROR(__xludf.DUMMYFUNCTION("""COMPUTED_VALUE"""),"Household Items")</f>
        <v>Household Items</v>
      </c>
      <c r="E280" s="33" t="str">
        <f>IFERROR(__xludf.DUMMYFUNCTION("""COMPUTED_VALUE"""),"Housing")</f>
        <v>Housing</v>
      </c>
      <c r="F280" s="33" t="str">
        <f>IFERROR(__xludf.DUMMYFUNCTION("""COMPUTED_VALUE"""),"Miscellaneous")</f>
        <v>Miscellaneous</v>
      </c>
      <c r="G280" s="33" t="str">
        <f>IFERROR(__xludf.DUMMYFUNCTION("""COMPUTED_VALUE"""),"Pet")</f>
        <v>Pet</v>
      </c>
      <c r="H280" s="33" t="str">
        <f>IFERROR(__xludf.DUMMYFUNCTION("""COMPUTED_VALUE"""),"Transportation")</f>
        <v>Transportation</v>
      </c>
      <c r="I280" s="33"/>
      <c r="J280" s="33"/>
      <c r="K280" s="33"/>
    </row>
    <row r="281">
      <c r="A281" s="33" t="str">
        <f>IFERROR(__xludf.DUMMYFUNCTION("""COMPUTED_VALUE"""),"Debt")</f>
        <v>Debt</v>
      </c>
      <c r="B281" s="33" t="str">
        <f>IFERROR(__xludf.DUMMYFUNCTION("""COMPUTED_VALUE"""),"Groceries")</f>
        <v>Groceries</v>
      </c>
      <c r="C281" s="33" t="str">
        <f>IFERROR(__xludf.DUMMYFUNCTION("""COMPUTED_VALUE"""),"Healthcare")</f>
        <v>Healthcare</v>
      </c>
      <c r="D281" s="33" t="str">
        <f>IFERROR(__xludf.DUMMYFUNCTION("""COMPUTED_VALUE"""),"Household Items")</f>
        <v>Household Items</v>
      </c>
      <c r="E281" s="33" t="str">
        <f>IFERROR(__xludf.DUMMYFUNCTION("""COMPUTED_VALUE"""),"Housing")</f>
        <v>Housing</v>
      </c>
      <c r="F281" s="33" t="str">
        <f>IFERROR(__xludf.DUMMYFUNCTION("""COMPUTED_VALUE"""),"Miscellaneous")</f>
        <v>Miscellaneous</v>
      </c>
      <c r="G281" s="33" t="str">
        <f>IFERROR(__xludf.DUMMYFUNCTION("""COMPUTED_VALUE"""),"Pet")</f>
        <v>Pet</v>
      </c>
      <c r="H281" s="33" t="str">
        <f>IFERROR(__xludf.DUMMYFUNCTION("""COMPUTED_VALUE"""),"Transportation")</f>
        <v>Transportation</v>
      </c>
      <c r="I281" s="33"/>
      <c r="J281" s="33"/>
      <c r="K281" s="33"/>
    </row>
    <row r="282">
      <c r="A282" s="33" t="str">
        <f>IFERROR(__xludf.DUMMYFUNCTION("""COMPUTED_VALUE"""),"Debt")</f>
        <v>Debt</v>
      </c>
      <c r="B282" s="33" t="str">
        <f>IFERROR(__xludf.DUMMYFUNCTION("""COMPUTED_VALUE"""),"Groceries")</f>
        <v>Groceries</v>
      </c>
      <c r="C282" s="33" t="str">
        <f>IFERROR(__xludf.DUMMYFUNCTION("""COMPUTED_VALUE"""),"Healthcare")</f>
        <v>Healthcare</v>
      </c>
      <c r="D282" s="33" t="str">
        <f>IFERROR(__xludf.DUMMYFUNCTION("""COMPUTED_VALUE"""),"Household Items")</f>
        <v>Household Items</v>
      </c>
      <c r="E282" s="33" t="str">
        <f>IFERROR(__xludf.DUMMYFUNCTION("""COMPUTED_VALUE"""),"Housing")</f>
        <v>Housing</v>
      </c>
      <c r="F282" s="33" t="str">
        <f>IFERROR(__xludf.DUMMYFUNCTION("""COMPUTED_VALUE"""),"Miscellaneous")</f>
        <v>Miscellaneous</v>
      </c>
      <c r="G282" s="33" t="str">
        <f>IFERROR(__xludf.DUMMYFUNCTION("""COMPUTED_VALUE"""),"Pet")</f>
        <v>Pet</v>
      </c>
      <c r="H282" s="33" t="str">
        <f>IFERROR(__xludf.DUMMYFUNCTION("""COMPUTED_VALUE"""),"Transportation")</f>
        <v>Transportation</v>
      </c>
      <c r="I282" s="33"/>
      <c r="J282" s="33"/>
      <c r="K282" s="33"/>
    </row>
    <row r="283">
      <c r="A283" s="33" t="str">
        <f>IFERROR(__xludf.DUMMYFUNCTION("""COMPUTED_VALUE"""),"Debt")</f>
        <v>Debt</v>
      </c>
      <c r="B283" s="33" t="str">
        <f>IFERROR(__xludf.DUMMYFUNCTION("""COMPUTED_VALUE"""),"Groceries")</f>
        <v>Groceries</v>
      </c>
      <c r="C283" s="33" t="str">
        <f>IFERROR(__xludf.DUMMYFUNCTION("""COMPUTED_VALUE"""),"Healthcare")</f>
        <v>Healthcare</v>
      </c>
      <c r="D283" s="33" t="str">
        <f>IFERROR(__xludf.DUMMYFUNCTION("""COMPUTED_VALUE"""),"Household Items")</f>
        <v>Household Items</v>
      </c>
      <c r="E283" s="33" t="str">
        <f>IFERROR(__xludf.DUMMYFUNCTION("""COMPUTED_VALUE"""),"Housing")</f>
        <v>Housing</v>
      </c>
      <c r="F283" s="33" t="str">
        <f>IFERROR(__xludf.DUMMYFUNCTION("""COMPUTED_VALUE"""),"Miscellaneous")</f>
        <v>Miscellaneous</v>
      </c>
      <c r="G283" s="33" t="str">
        <f>IFERROR(__xludf.DUMMYFUNCTION("""COMPUTED_VALUE"""),"Pet")</f>
        <v>Pet</v>
      </c>
      <c r="H283" s="33" t="str">
        <f>IFERROR(__xludf.DUMMYFUNCTION("""COMPUTED_VALUE"""),"Transportation")</f>
        <v>Transportation</v>
      </c>
      <c r="I283" s="33"/>
      <c r="J283" s="33"/>
      <c r="K283" s="33"/>
    </row>
    <row r="284">
      <c r="A284" s="33" t="str">
        <f>IFERROR(__xludf.DUMMYFUNCTION("""COMPUTED_VALUE"""),"Debt")</f>
        <v>Debt</v>
      </c>
      <c r="B284" s="33" t="str">
        <f>IFERROR(__xludf.DUMMYFUNCTION("""COMPUTED_VALUE"""),"Groceries")</f>
        <v>Groceries</v>
      </c>
      <c r="C284" s="33" t="str">
        <f>IFERROR(__xludf.DUMMYFUNCTION("""COMPUTED_VALUE"""),"Healthcare")</f>
        <v>Healthcare</v>
      </c>
      <c r="D284" s="33" t="str">
        <f>IFERROR(__xludf.DUMMYFUNCTION("""COMPUTED_VALUE"""),"Household Items")</f>
        <v>Household Items</v>
      </c>
      <c r="E284" s="33" t="str">
        <f>IFERROR(__xludf.DUMMYFUNCTION("""COMPUTED_VALUE"""),"Housing")</f>
        <v>Housing</v>
      </c>
      <c r="F284" s="33" t="str">
        <f>IFERROR(__xludf.DUMMYFUNCTION("""COMPUTED_VALUE"""),"Miscellaneous")</f>
        <v>Miscellaneous</v>
      </c>
      <c r="G284" s="33" t="str">
        <f>IFERROR(__xludf.DUMMYFUNCTION("""COMPUTED_VALUE"""),"Pet")</f>
        <v>Pet</v>
      </c>
      <c r="H284" s="33" t="str">
        <f>IFERROR(__xludf.DUMMYFUNCTION("""COMPUTED_VALUE"""),"Transportation")</f>
        <v>Transportation</v>
      </c>
      <c r="I284" s="33"/>
      <c r="J284" s="33"/>
      <c r="K284" s="33"/>
    </row>
    <row r="285">
      <c r="A285" s="33" t="str">
        <f>IFERROR(__xludf.DUMMYFUNCTION("""COMPUTED_VALUE"""),"Debt")</f>
        <v>Debt</v>
      </c>
      <c r="B285" s="33" t="str">
        <f>IFERROR(__xludf.DUMMYFUNCTION("""COMPUTED_VALUE"""),"Groceries")</f>
        <v>Groceries</v>
      </c>
      <c r="C285" s="33" t="str">
        <f>IFERROR(__xludf.DUMMYFUNCTION("""COMPUTED_VALUE"""),"Healthcare")</f>
        <v>Healthcare</v>
      </c>
      <c r="D285" s="33" t="str">
        <f>IFERROR(__xludf.DUMMYFUNCTION("""COMPUTED_VALUE"""),"Household Items")</f>
        <v>Household Items</v>
      </c>
      <c r="E285" s="33" t="str">
        <f>IFERROR(__xludf.DUMMYFUNCTION("""COMPUTED_VALUE"""),"Housing")</f>
        <v>Housing</v>
      </c>
      <c r="F285" s="33" t="str">
        <f>IFERROR(__xludf.DUMMYFUNCTION("""COMPUTED_VALUE"""),"Miscellaneous")</f>
        <v>Miscellaneous</v>
      </c>
      <c r="G285" s="33" t="str">
        <f>IFERROR(__xludf.DUMMYFUNCTION("""COMPUTED_VALUE"""),"Pet")</f>
        <v>Pet</v>
      </c>
      <c r="H285" s="33" t="str">
        <f>IFERROR(__xludf.DUMMYFUNCTION("""COMPUTED_VALUE"""),"Transportation")</f>
        <v>Transportation</v>
      </c>
      <c r="I285" s="33"/>
      <c r="J285" s="33"/>
      <c r="K285" s="33"/>
    </row>
    <row r="286">
      <c r="A286" s="33" t="str">
        <f>IFERROR(__xludf.DUMMYFUNCTION("""COMPUTED_VALUE"""),"Debt")</f>
        <v>Debt</v>
      </c>
      <c r="B286" s="33" t="str">
        <f>IFERROR(__xludf.DUMMYFUNCTION("""COMPUTED_VALUE"""),"Groceries")</f>
        <v>Groceries</v>
      </c>
      <c r="C286" s="33" t="str">
        <f>IFERROR(__xludf.DUMMYFUNCTION("""COMPUTED_VALUE"""),"Healthcare")</f>
        <v>Healthcare</v>
      </c>
      <c r="D286" s="33" t="str">
        <f>IFERROR(__xludf.DUMMYFUNCTION("""COMPUTED_VALUE"""),"Household Items")</f>
        <v>Household Items</v>
      </c>
      <c r="E286" s="33" t="str">
        <f>IFERROR(__xludf.DUMMYFUNCTION("""COMPUTED_VALUE"""),"Housing")</f>
        <v>Housing</v>
      </c>
      <c r="F286" s="33" t="str">
        <f>IFERROR(__xludf.DUMMYFUNCTION("""COMPUTED_VALUE"""),"Miscellaneous")</f>
        <v>Miscellaneous</v>
      </c>
      <c r="G286" s="33" t="str">
        <f>IFERROR(__xludf.DUMMYFUNCTION("""COMPUTED_VALUE"""),"Pet")</f>
        <v>Pet</v>
      </c>
      <c r="H286" s="33" t="str">
        <f>IFERROR(__xludf.DUMMYFUNCTION("""COMPUTED_VALUE"""),"Transportation")</f>
        <v>Transportation</v>
      </c>
      <c r="I286" s="33"/>
      <c r="J286" s="33"/>
      <c r="K286" s="33"/>
    </row>
    <row r="287">
      <c r="A287" s="33" t="str">
        <f>IFERROR(__xludf.DUMMYFUNCTION("""COMPUTED_VALUE"""),"Debt")</f>
        <v>Debt</v>
      </c>
      <c r="B287" s="33" t="str">
        <f>IFERROR(__xludf.DUMMYFUNCTION("""COMPUTED_VALUE"""),"Groceries")</f>
        <v>Groceries</v>
      </c>
      <c r="C287" s="33" t="str">
        <f>IFERROR(__xludf.DUMMYFUNCTION("""COMPUTED_VALUE"""),"Healthcare")</f>
        <v>Healthcare</v>
      </c>
      <c r="D287" s="33" t="str">
        <f>IFERROR(__xludf.DUMMYFUNCTION("""COMPUTED_VALUE"""),"Household Items")</f>
        <v>Household Items</v>
      </c>
      <c r="E287" s="33" t="str">
        <f>IFERROR(__xludf.DUMMYFUNCTION("""COMPUTED_VALUE"""),"Housing")</f>
        <v>Housing</v>
      </c>
      <c r="F287" s="33" t="str">
        <f>IFERROR(__xludf.DUMMYFUNCTION("""COMPUTED_VALUE"""),"Miscellaneous")</f>
        <v>Miscellaneous</v>
      </c>
      <c r="G287" s="33" t="str">
        <f>IFERROR(__xludf.DUMMYFUNCTION("""COMPUTED_VALUE"""),"Pet")</f>
        <v>Pet</v>
      </c>
      <c r="H287" s="33" t="str">
        <f>IFERROR(__xludf.DUMMYFUNCTION("""COMPUTED_VALUE"""),"Transportation")</f>
        <v>Transportation</v>
      </c>
      <c r="I287" s="33"/>
      <c r="J287" s="33"/>
      <c r="K287" s="33"/>
    </row>
    <row r="288">
      <c r="A288" s="33" t="str">
        <f>IFERROR(__xludf.DUMMYFUNCTION("""COMPUTED_VALUE"""),"Debt")</f>
        <v>Debt</v>
      </c>
      <c r="B288" s="33" t="str">
        <f>IFERROR(__xludf.DUMMYFUNCTION("""COMPUTED_VALUE"""),"Groceries")</f>
        <v>Groceries</v>
      </c>
      <c r="C288" s="33" t="str">
        <f>IFERROR(__xludf.DUMMYFUNCTION("""COMPUTED_VALUE"""),"Healthcare")</f>
        <v>Healthcare</v>
      </c>
      <c r="D288" s="33" t="str">
        <f>IFERROR(__xludf.DUMMYFUNCTION("""COMPUTED_VALUE"""),"Household Items")</f>
        <v>Household Items</v>
      </c>
      <c r="E288" s="33" t="str">
        <f>IFERROR(__xludf.DUMMYFUNCTION("""COMPUTED_VALUE"""),"Housing")</f>
        <v>Housing</v>
      </c>
      <c r="F288" s="33" t="str">
        <f>IFERROR(__xludf.DUMMYFUNCTION("""COMPUTED_VALUE"""),"Miscellaneous")</f>
        <v>Miscellaneous</v>
      </c>
      <c r="G288" s="33" t="str">
        <f>IFERROR(__xludf.DUMMYFUNCTION("""COMPUTED_VALUE"""),"Pet")</f>
        <v>Pet</v>
      </c>
      <c r="H288" s="33" t="str">
        <f>IFERROR(__xludf.DUMMYFUNCTION("""COMPUTED_VALUE"""),"Transportation")</f>
        <v>Transportation</v>
      </c>
      <c r="I288" s="33"/>
      <c r="J288" s="33"/>
      <c r="K288" s="33"/>
    </row>
    <row r="289">
      <c r="A289" s="33" t="str">
        <f>IFERROR(__xludf.DUMMYFUNCTION("""COMPUTED_VALUE"""),"Debt")</f>
        <v>Debt</v>
      </c>
      <c r="B289" s="33" t="str">
        <f>IFERROR(__xludf.DUMMYFUNCTION("""COMPUTED_VALUE"""),"Groceries")</f>
        <v>Groceries</v>
      </c>
      <c r="C289" s="33" t="str">
        <f>IFERROR(__xludf.DUMMYFUNCTION("""COMPUTED_VALUE"""),"Healthcare")</f>
        <v>Healthcare</v>
      </c>
      <c r="D289" s="33" t="str">
        <f>IFERROR(__xludf.DUMMYFUNCTION("""COMPUTED_VALUE"""),"Household Items")</f>
        <v>Household Items</v>
      </c>
      <c r="E289" s="33" t="str">
        <f>IFERROR(__xludf.DUMMYFUNCTION("""COMPUTED_VALUE"""),"Housing")</f>
        <v>Housing</v>
      </c>
      <c r="F289" s="33" t="str">
        <f>IFERROR(__xludf.DUMMYFUNCTION("""COMPUTED_VALUE"""),"Miscellaneous")</f>
        <v>Miscellaneous</v>
      </c>
      <c r="G289" s="33" t="str">
        <f>IFERROR(__xludf.DUMMYFUNCTION("""COMPUTED_VALUE"""),"Pet")</f>
        <v>Pet</v>
      </c>
      <c r="H289" s="33" t="str">
        <f>IFERROR(__xludf.DUMMYFUNCTION("""COMPUTED_VALUE"""),"Transportation")</f>
        <v>Transportation</v>
      </c>
      <c r="I289" s="33"/>
      <c r="J289" s="33"/>
      <c r="K289" s="33"/>
    </row>
    <row r="290">
      <c r="A290" s="33" t="str">
        <f>IFERROR(__xludf.DUMMYFUNCTION("""COMPUTED_VALUE"""),"Debt")</f>
        <v>Debt</v>
      </c>
      <c r="B290" s="33" t="str">
        <f>IFERROR(__xludf.DUMMYFUNCTION("""COMPUTED_VALUE"""),"Groceries")</f>
        <v>Groceries</v>
      </c>
      <c r="C290" s="33" t="str">
        <f>IFERROR(__xludf.DUMMYFUNCTION("""COMPUTED_VALUE"""),"Healthcare")</f>
        <v>Healthcare</v>
      </c>
      <c r="D290" s="33" t="str">
        <f>IFERROR(__xludf.DUMMYFUNCTION("""COMPUTED_VALUE"""),"Household Items")</f>
        <v>Household Items</v>
      </c>
      <c r="E290" s="33" t="str">
        <f>IFERROR(__xludf.DUMMYFUNCTION("""COMPUTED_VALUE"""),"Housing")</f>
        <v>Housing</v>
      </c>
      <c r="F290" s="33" t="str">
        <f>IFERROR(__xludf.DUMMYFUNCTION("""COMPUTED_VALUE"""),"Miscellaneous")</f>
        <v>Miscellaneous</v>
      </c>
      <c r="G290" s="33" t="str">
        <f>IFERROR(__xludf.DUMMYFUNCTION("""COMPUTED_VALUE"""),"Pet")</f>
        <v>Pet</v>
      </c>
      <c r="H290" s="33" t="str">
        <f>IFERROR(__xludf.DUMMYFUNCTION("""COMPUTED_VALUE"""),"Transportation")</f>
        <v>Transportation</v>
      </c>
      <c r="I290" s="33"/>
      <c r="J290" s="33"/>
      <c r="K290" s="33"/>
    </row>
    <row r="291">
      <c r="A291" s="33" t="str">
        <f>IFERROR(__xludf.DUMMYFUNCTION("""COMPUTED_VALUE"""),"Debt")</f>
        <v>Debt</v>
      </c>
      <c r="B291" s="33" t="str">
        <f>IFERROR(__xludf.DUMMYFUNCTION("""COMPUTED_VALUE"""),"Groceries")</f>
        <v>Groceries</v>
      </c>
      <c r="C291" s="33" t="str">
        <f>IFERROR(__xludf.DUMMYFUNCTION("""COMPUTED_VALUE"""),"Healthcare")</f>
        <v>Healthcare</v>
      </c>
      <c r="D291" s="33" t="str">
        <f>IFERROR(__xludf.DUMMYFUNCTION("""COMPUTED_VALUE"""),"Household Items")</f>
        <v>Household Items</v>
      </c>
      <c r="E291" s="33" t="str">
        <f>IFERROR(__xludf.DUMMYFUNCTION("""COMPUTED_VALUE"""),"Housing")</f>
        <v>Housing</v>
      </c>
      <c r="F291" s="33" t="str">
        <f>IFERROR(__xludf.DUMMYFUNCTION("""COMPUTED_VALUE"""),"Miscellaneous")</f>
        <v>Miscellaneous</v>
      </c>
      <c r="G291" s="33" t="str">
        <f>IFERROR(__xludf.DUMMYFUNCTION("""COMPUTED_VALUE"""),"Pet")</f>
        <v>Pet</v>
      </c>
      <c r="H291" s="33" t="str">
        <f>IFERROR(__xludf.DUMMYFUNCTION("""COMPUTED_VALUE"""),"Transportation")</f>
        <v>Transportation</v>
      </c>
      <c r="I291" s="33"/>
      <c r="J291" s="33"/>
      <c r="K291" s="33"/>
    </row>
    <row r="292">
      <c r="A292" s="33" t="str">
        <f>IFERROR(__xludf.DUMMYFUNCTION("""COMPUTED_VALUE"""),"Debt")</f>
        <v>Debt</v>
      </c>
      <c r="B292" s="33" t="str">
        <f>IFERROR(__xludf.DUMMYFUNCTION("""COMPUTED_VALUE"""),"Groceries")</f>
        <v>Groceries</v>
      </c>
      <c r="C292" s="33" t="str">
        <f>IFERROR(__xludf.DUMMYFUNCTION("""COMPUTED_VALUE"""),"Healthcare")</f>
        <v>Healthcare</v>
      </c>
      <c r="D292" s="33" t="str">
        <f>IFERROR(__xludf.DUMMYFUNCTION("""COMPUTED_VALUE"""),"Household Items")</f>
        <v>Household Items</v>
      </c>
      <c r="E292" s="33" t="str">
        <f>IFERROR(__xludf.DUMMYFUNCTION("""COMPUTED_VALUE"""),"Housing")</f>
        <v>Housing</v>
      </c>
      <c r="F292" s="33" t="str">
        <f>IFERROR(__xludf.DUMMYFUNCTION("""COMPUTED_VALUE"""),"Miscellaneous")</f>
        <v>Miscellaneous</v>
      </c>
      <c r="G292" s="33" t="str">
        <f>IFERROR(__xludf.DUMMYFUNCTION("""COMPUTED_VALUE"""),"Pet")</f>
        <v>Pet</v>
      </c>
      <c r="H292" s="33" t="str">
        <f>IFERROR(__xludf.DUMMYFUNCTION("""COMPUTED_VALUE"""),"Transportation")</f>
        <v>Transportation</v>
      </c>
      <c r="I292" s="33"/>
      <c r="J292" s="33"/>
      <c r="K292" s="33"/>
    </row>
    <row r="293">
      <c r="A293" s="33" t="str">
        <f>IFERROR(__xludf.DUMMYFUNCTION("""COMPUTED_VALUE"""),"Debt")</f>
        <v>Debt</v>
      </c>
      <c r="B293" s="33" t="str">
        <f>IFERROR(__xludf.DUMMYFUNCTION("""COMPUTED_VALUE"""),"Groceries")</f>
        <v>Groceries</v>
      </c>
      <c r="C293" s="33" t="str">
        <f>IFERROR(__xludf.DUMMYFUNCTION("""COMPUTED_VALUE"""),"Healthcare")</f>
        <v>Healthcare</v>
      </c>
      <c r="D293" s="33" t="str">
        <f>IFERROR(__xludf.DUMMYFUNCTION("""COMPUTED_VALUE"""),"Household Items")</f>
        <v>Household Items</v>
      </c>
      <c r="E293" s="33" t="str">
        <f>IFERROR(__xludf.DUMMYFUNCTION("""COMPUTED_VALUE"""),"Housing")</f>
        <v>Housing</v>
      </c>
      <c r="F293" s="33" t="str">
        <f>IFERROR(__xludf.DUMMYFUNCTION("""COMPUTED_VALUE"""),"Miscellaneous")</f>
        <v>Miscellaneous</v>
      </c>
      <c r="G293" s="33" t="str">
        <f>IFERROR(__xludf.DUMMYFUNCTION("""COMPUTED_VALUE"""),"Pet")</f>
        <v>Pet</v>
      </c>
      <c r="H293" s="33" t="str">
        <f>IFERROR(__xludf.DUMMYFUNCTION("""COMPUTED_VALUE"""),"Transportation")</f>
        <v>Transportation</v>
      </c>
      <c r="I293" s="33"/>
      <c r="J293" s="33"/>
      <c r="K293" s="33"/>
    </row>
    <row r="294">
      <c r="A294" s="33" t="str">
        <f>IFERROR(__xludf.DUMMYFUNCTION("""COMPUTED_VALUE"""),"Debt")</f>
        <v>Debt</v>
      </c>
      <c r="B294" s="33" t="str">
        <f>IFERROR(__xludf.DUMMYFUNCTION("""COMPUTED_VALUE"""),"Groceries")</f>
        <v>Groceries</v>
      </c>
      <c r="C294" s="33" t="str">
        <f>IFERROR(__xludf.DUMMYFUNCTION("""COMPUTED_VALUE"""),"Healthcare")</f>
        <v>Healthcare</v>
      </c>
      <c r="D294" s="33" t="str">
        <f>IFERROR(__xludf.DUMMYFUNCTION("""COMPUTED_VALUE"""),"Household Items")</f>
        <v>Household Items</v>
      </c>
      <c r="E294" s="33" t="str">
        <f>IFERROR(__xludf.DUMMYFUNCTION("""COMPUTED_VALUE"""),"Housing")</f>
        <v>Housing</v>
      </c>
      <c r="F294" s="33" t="str">
        <f>IFERROR(__xludf.DUMMYFUNCTION("""COMPUTED_VALUE"""),"Miscellaneous")</f>
        <v>Miscellaneous</v>
      </c>
      <c r="G294" s="33" t="str">
        <f>IFERROR(__xludf.DUMMYFUNCTION("""COMPUTED_VALUE"""),"Pet")</f>
        <v>Pet</v>
      </c>
      <c r="H294" s="33" t="str">
        <f>IFERROR(__xludf.DUMMYFUNCTION("""COMPUTED_VALUE"""),"Transportation")</f>
        <v>Transportation</v>
      </c>
      <c r="I294" s="33"/>
      <c r="J294" s="33"/>
      <c r="K294" s="33"/>
    </row>
    <row r="295">
      <c r="A295" s="33" t="str">
        <f>IFERROR(__xludf.DUMMYFUNCTION("""COMPUTED_VALUE"""),"Deposit")</f>
        <v>Deposit</v>
      </c>
      <c r="B295" s="33" t="str">
        <f>IFERROR(__xludf.DUMMYFUNCTION("""COMPUTED_VALUE"""),"Withdrawal")</f>
        <v>Withdrawal</v>
      </c>
      <c r="C295" s="33"/>
      <c r="D295" s="33"/>
      <c r="E295" s="33"/>
      <c r="F295" s="33"/>
      <c r="G295" s="33"/>
      <c r="H295" s="33"/>
      <c r="I295" s="33"/>
      <c r="J295" s="33"/>
      <c r="K295" s="33"/>
    </row>
    <row r="296">
      <c r="A296" s="33" t="str">
        <f>IFERROR(__xludf.DUMMYFUNCTION("""COMPUTED_VALUE"""),"Deposit")</f>
        <v>Deposit</v>
      </c>
      <c r="B296" s="33" t="str">
        <f>IFERROR(__xludf.DUMMYFUNCTION("""COMPUTED_VALUE"""),"Withdrawal")</f>
        <v>Withdrawal</v>
      </c>
      <c r="C296" s="33"/>
      <c r="D296" s="33"/>
      <c r="E296" s="33"/>
      <c r="F296" s="33"/>
      <c r="G296" s="33"/>
      <c r="H296" s="33"/>
      <c r="I296" s="33"/>
      <c r="J296" s="33"/>
      <c r="K296" s="33"/>
    </row>
    <row r="297">
      <c r="A297" s="33" t="str">
        <f>IFERROR(__xludf.DUMMYFUNCTION("""COMPUTED_VALUE"""),"Car Fund")</f>
        <v>Car Fund</v>
      </c>
      <c r="B297" s="33" t="str">
        <f>IFERROR(__xludf.DUMMYFUNCTION("""COMPUTED_VALUE"""),"Emergency Fund")</f>
        <v>Emergency Fund</v>
      </c>
      <c r="C297" s="33" t="str">
        <f>IFERROR(__xludf.DUMMYFUNCTION("""COMPUTED_VALUE"""),"Family Fund")</f>
        <v>Family Fund</v>
      </c>
      <c r="D297" s="33" t="str">
        <f>IFERROR(__xludf.DUMMYFUNCTION("""COMPUTED_VALUE"""),"Kenji Fund")</f>
        <v>Kenji Fund</v>
      </c>
      <c r="E297" s="33" t="str">
        <f>IFERROR(__xludf.DUMMYFUNCTION("""COMPUTED_VALUE"""),"Mei Fund")</f>
        <v>Mei Fund</v>
      </c>
      <c r="F297" s="33" t="str">
        <f>IFERROR(__xludf.DUMMYFUNCTION("""COMPUTED_VALUE"""),"Pet Fund")</f>
        <v>Pet Fund</v>
      </c>
      <c r="G297" s="33" t="str">
        <f>IFERROR(__xludf.DUMMYFUNCTION("""COMPUTED_VALUE"""),"Vacation Fund")</f>
        <v>Vacation Fund</v>
      </c>
      <c r="H297" s="33"/>
      <c r="I297" s="33"/>
      <c r="J297" s="33"/>
      <c r="K297" s="33"/>
    </row>
    <row r="298">
      <c r="A298" s="33" t="str">
        <f>IFERROR(__xludf.DUMMYFUNCTION("""COMPUTED_VALUE"""),"Deposit")</f>
        <v>Deposit</v>
      </c>
      <c r="B298" s="33" t="str">
        <f>IFERROR(__xludf.DUMMYFUNCTION("""COMPUTED_VALUE"""),"Withdrawal")</f>
        <v>Withdrawal</v>
      </c>
      <c r="C298" s="33"/>
      <c r="D298" s="33"/>
      <c r="E298" s="33"/>
      <c r="F298" s="33"/>
      <c r="G298" s="33"/>
      <c r="H298" s="33"/>
      <c r="I298" s="33"/>
      <c r="J298" s="33"/>
      <c r="K298" s="33"/>
    </row>
    <row r="299">
      <c r="A299" s="33" t="str">
        <f>IFERROR(__xludf.DUMMYFUNCTION("""COMPUTED_VALUE"""),"Cashback")</f>
        <v>Cashback</v>
      </c>
      <c r="B299" s="33" t="str">
        <f>IFERROR(__xludf.DUMMYFUNCTION("""COMPUTED_VALUE"""),"Investment Returns")</f>
        <v>Investment Returns</v>
      </c>
      <c r="C299" s="33" t="str">
        <f>IFERROR(__xludf.DUMMYFUNCTION("""COMPUTED_VALUE"""),"Paycheck")</f>
        <v>Paycheck</v>
      </c>
      <c r="D299" s="33" t="str">
        <f>IFERROR(__xludf.DUMMYFUNCTION("""COMPUTED_VALUE"""),"Reimbursement")</f>
        <v>Reimbursement</v>
      </c>
      <c r="E299" s="33" t="str">
        <f>IFERROR(__xludf.DUMMYFUNCTION("""COMPUTED_VALUE"""),"Rewards")</f>
        <v>Rewards</v>
      </c>
      <c r="F299" s="33"/>
      <c r="G299" s="33"/>
      <c r="H299" s="33"/>
      <c r="I299" s="33"/>
      <c r="J299" s="33"/>
      <c r="K299" s="33"/>
    </row>
    <row r="300">
      <c r="A300" s="33" t="str">
        <f>IFERROR(__xludf.DUMMYFUNCTION("""COMPUTED_VALUE"""),"Cashback")</f>
        <v>Cashback</v>
      </c>
      <c r="B300" s="33" t="str">
        <f>IFERROR(__xludf.DUMMYFUNCTION("""COMPUTED_VALUE"""),"Investment Returns")</f>
        <v>Investment Returns</v>
      </c>
      <c r="C300" s="33" t="str">
        <f>IFERROR(__xludf.DUMMYFUNCTION("""COMPUTED_VALUE"""),"Paycheck")</f>
        <v>Paycheck</v>
      </c>
      <c r="D300" s="33" t="str">
        <f>IFERROR(__xludf.DUMMYFUNCTION("""COMPUTED_VALUE"""),"Reimbursement")</f>
        <v>Reimbursement</v>
      </c>
      <c r="E300" s="33" t="str">
        <f>IFERROR(__xludf.DUMMYFUNCTION("""COMPUTED_VALUE"""),"Rewards")</f>
        <v>Rewards</v>
      </c>
      <c r="F300" s="33"/>
      <c r="G300" s="33"/>
      <c r="H300" s="33"/>
      <c r="I300" s="33"/>
      <c r="J300" s="33"/>
      <c r="K300" s="33"/>
    </row>
    <row r="301">
      <c r="A301" s="33" t="str">
        <f>IFERROR(__xludf.DUMMYFUNCTION("""COMPUTED_VALUE"""),"Debt")</f>
        <v>Debt</v>
      </c>
      <c r="B301" s="33" t="str">
        <f>IFERROR(__xludf.DUMMYFUNCTION("""COMPUTED_VALUE"""),"Groceries")</f>
        <v>Groceries</v>
      </c>
      <c r="C301" s="33" t="str">
        <f>IFERROR(__xludf.DUMMYFUNCTION("""COMPUTED_VALUE"""),"Healthcare")</f>
        <v>Healthcare</v>
      </c>
      <c r="D301" s="33" t="str">
        <f>IFERROR(__xludf.DUMMYFUNCTION("""COMPUTED_VALUE"""),"Household Items")</f>
        <v>Household Items</v>
      </c>
      <c r="E301" s="33" t="str">
        <f>IFERROR(__xludf.DUMMYFUNCTION("""COMPUTED_VALUE"""),"Housing")</f>
        <v>Housing</v>
      </c>
      <c r="F301" s="33" t="str">
        <f>IFERROR(__xludf.DUMMYFUNCTION("""COMPUTED_VALUE"""),"Miscellaneous")</f>
        <v>Miscellaneous</v>
      </c>
      <c r="G301" s="33" t="str">
        <f>IFERROR(__xludf.DUMMYFUNCTION("""COMPUTED_VALUE"""),"Pet")</f>
        <v>Pet</v>
      </c>
      <c r="H301" s="33" t="str">
        <f>IFERROR(__xludf.DUMMYFUNCTION("""COMPUTED_VALUE"""),"Transportation")</f>
        <v>Transportation</v>
      </c>
      <c r="I301" s="33"/>
      <c r="J301" s="33"/>
      <c r="K301" s="33"/>
    </row>
    <row r="302">
      <c r="A302" s="33" t="str">
        <f>IFERROR(__xludf.DUMMYFUNCTION("""COMPUTED_VALUE"""),"Debt")</f>
        <v>Debt</v>
      </c>
      <c r="B302" s="33" t="str">
        <f>IFERROR(__xludf.DUMMYFUNCTION("""COMPUTED_VALUE"""),"Groceries")</f>
        <v>Groceries</v>
      </c>
      <c r="C302" s="33" t="str">
        <f>IFERROR(__xludf.DUMMYFUNCTION("""COMPUTED_VALUE"""),"Healthcare")</f>
        <v>Healthcare</v>
      </c>
      <c r="D302" s="33" t="str">
        <f>IFERROR(__xludf.DUMMYFUNCTION("""COMPUTED_VALUE"""),"Household Items")</f>
        <v>Household Items</v>
      </c>
      <c r="E302" s="33" t="str">
        <f>IFERROR(__xludf.DUMMYFUNCTION("""COMPUTED_VALUE"""),"Housing")</f>
        <v>Housing</v>
      </c>
      <c r="F302" s="33" t="str">
        <f>IFERROR(__xludf.DUMMYFUNCTION("""COMPUTED_VALUE"""),"Miscellaneous")</f>
        <v>Miscellaneous</v>
      </c>
      <c r="G302" s="33" t="str">
        <f>IFERROR(__xludf.DUMMYFUNCTION("""COMPUTED_VALUE"""),"Pet")</f>
        <v>Pet</v>
      </c>
      <c r="H302" s="33" t="str">
        <f>IFERROR(__xludf.DUMMYFUNCTION("""COMPUTED_VALUE"""),"Transportation")</f>
        <v>Transportation</v>
      </c>
      <c r="I302" s="33"/>
      <c r="J302" s="33"/>
      <c r="K302" s="33"/>
    </row>
    <row r="303">
      <c r="A303" s="33" t="str">
        <f>IFERROR(__xludf.DUMMYFUNCTION("""COMPUTED_VALUE"""),"Debt")</f>
        <v>Debt</v>
      </c>
      <c r="B303" s="33" t="str">
        <f>IFERROR(__xludf.DUMMYFUNCTION("""COMPUTED_VALUE"""),"Groceries")</f>
        <v>Groceries</v>
      </c>
      <c r="C303" s="33" t="str">
        <f>IFERROR(__xludf.DUMMYFUNCTION("""COMPUTED_VALUE"""),"Healthcare")</f>
        <v>Healthcare</v>
      </c>
      <c r="D303" s="33" t="str">
        <f>IFERROR(__xludf.DUMMYFUNCTION("""COMPUTED_VALUE"""),"Household Items")</f>
        <v>Household Items</v>
      </c>
      <c r="E303" s="33" t="str">
        <f>IFERROR(__xludf.DUMMYFUNCTION("""COMPUTED_VALUE"""),"Housing")</f>
        <v>Housing</v>
      </c>
      <c r="F303" s="33" t="str">
        <f>IFERROR(__xludf.DUMMYFUNCTION("""COMPUTED_VALUE"""),"Miscellaneous")</f>
        <v>Miscellaneous</v>
      </c>
      <c r="G303" s="33" t="str">
        <f>IFERROR(__xludf.DUMMYFUNCTION("""COMPUTED_VALUE"""),"Pet")</f>
        <v>Pet</v>
      </c>
      <c r="H303" s="33" t="str">
        <f>IFERROR(__xludf.DUMMYFUNCTION("""COMPUTED_VALUE"""),"Transportation")</f>
        <v>Transportation</v>
      </c>
      <c r="I303" s="33"/>
      <c r="J303" s="33"/>
      <c r="K303" s="33"/>
    </row>
    <row r="304">
      <c r="A304" s="33" t="str">
        <f>IFERROR(__xludf.DUMMYFUNCTION("""COMPUTED_VALUE"""),"Debt")</f>
        <v>Debt</v>
      </c>
      <c r="B304" s="33" t="str">
        <f>IFERROR(__xludf.DUMMYFUNCTION("""COMPUTED_VALUE"""),"Groceries")</f>
        <v>Groceries</v>
      </c>
      <c r="C304" s="33" t="str">
        <f>IFERROR(__xludf.DUMMYFUNCTION("""COMPUTED_VALUE"""),"Healthcare")</f>
        <v>Healthcare</v>
      </c>
      <c r="D304" s="33" t="str">
        <f>IFERROR(__xludf.DUMMYFUNCTION("""COMPUTED_VALUE"""),"Household Items")</f>
        <v>Household Items</v>
      </c>
      <c r="E304" s="33" t="str">
        <f>IFERROR(__xludf.DUMMYFUNCTION("""COMPUTED_VALUE"""),"Housing")</f>
        <v>Housing</v>
      </c>
      <c r="F304" s="33" t="str">
        <f>IFERROR(__xludf.DUMMYFUNCTION("""COMPUTED_VALUE"""),"Miscellaneous")</f>
        <v>Miscellaneous</v>
      </c>
      <c r="G304" s="33" t="str">
        <f>IFERROR(__xludf.DUMMYFUNCTION("""COMPUTED_VALUE"""),"Pet")</f>
        <v>Pet</v>
      </c>
      <c r="H304" s="33" t="str">
        <f>IFERROR(__xludf.DUMMYFUNCTION("""COMPUTED_VALUE"""),"Transportation")</f>
        <v>Transportation</v>
      </c>
      <c r="I304" s="33"/>
      <c r="J304" s="33"/>
      <c r="K304" s="33"/>
    </row>
    <row r="305">
      <c r="A305" s="33" t="str">
        <f>IFERROR(__xludf.DUMMYFUNCTION("""COMPUTED_VALUE"""),"Deposit")</f>
        <v>Deposit</v>
      </c>
      <c r="B305" s="33" t="str">
        <f>IFERROR(__xludf.DUMMYFUNCTION("""COMPUTED_VALUE"""),"Withdrawal")</f>
        <v>Withdrawal</v>
      </c>
      <c r="C305" s="33"/>
      <c r="D305" s="33"/>
      <c r="E305" s="33"/>
      <c r="F305" s="33"/>
      <c r="G305" s="33"/>
      <c r="H305" s="33"/>
      <c r="I305" s="33"/>
      <c r="J305" s="33"/>
      <c r="K305" s="33"/>
    </row>
    <row r="306">
      <c r="A306" s="33" t="str">
        <f>IFERROR(__xludf.DUMMYFUNCTION("""COMPUTED_VALUE"""),"Deposit")</f>
        <v>Deposit</v>
      </c>
      <c r="B306" s="33" t="str">
        <f>IFERROR(__xludf.DUMMYFUNCTION("""COMPUTED_VALUE"""),"Withdrawal")</f>
        <v>Withdrawal</v>
      </c>
      <c r="C306" s="33"/>
      <c r="D306" s="33"/>
      <c r="E306" s="33"/>
      <c r="F306" s="33"/>
      <c r="G306" s="33"/>
      <c r="H306" s="33"/>
      <c r="I306" s="33"/>
      <c r="J306" s="33"/>
      <c r="K306" s="33"/>
    </row>
    <row r="307">
      <c r="A307" s="33" t="str">
        <f>IFERROR(__xludf.DUMMYFUNCTION("""COMPUTED_VALUE"""),"Debt")</f>
        <v>Debt</v>
      </c>
      <c r="B307" s="33" t="str">
        <f>IFERROR(__xludf.DUMMYFUNCTION("""COMPUTED_VALUE"""),"Groceries")</f>
        <v>Groceries</v>
      </c>
      <c r="C307" s="33" t="str">
        <f>IFERROR(__xludf.DUMMYFUNCTION("""COMPUTED_VALUE"""),"Healthcare")</f>
        <v>Healthcare</v>
      </c>
      <c r="D307" s="33" t="str">
        <f>IFERROR(__xludf.DUMMYFUNCTION("""COMPUTED_VALUE"""),"Household Items")</f>
        <v>Household Items</v>
      </c>
      <c r="E307" s="33" t="str">
        <f>IFERROR(__xludf.DUMMYFUNCTION("""COMPUTED_VALUE"""),"Housing")</f>
        <v>Housing</v>
      </c>
      <c r="F307" s="33" t="str">
        <f>IFERROR(__xludf.DUMMYFUNCTION("""COMPUTED_VALUE"""),"Miscellaneous")</f>
        <v>Miscellaneous</v>
      </c>
      <c r="G307" s="33" t="str">
        <f>IFERROR(__xludf.DUMMYFUNCTION("""COMPUTED_VALUE"""),"Pet")</f>
        <v>Pet</v>
      </c>
      <c r="H307" s="33" t="str">
        <f>IFERROR(__xludf.DUMMYFUNCTION("""COMPUTED_VALUE"""),"Transportation")</f>
        <v>Transportation</v>
      </c>
      <c r="I307" s="33"/>
      <c r="J307" s="33"/>
      <c r="K307" s="33"/>
    </row>
    <row r="308">
      <c r="A308" s="33" t="str">
        <f>IFERROR(__xludf.DUMMYFUNCTION("""COMPUTED_VALUE"""),"Dining Out")</f>
        <v>Dining Out</v>
      </c>
      <c r="B308" s="33" t="str">
        <f>IFERROR(__xludf.DUMMYFUNCTION("""COMPUTED_VALUE"""),"Entertainment")</f>
        <v>Entertainment</v>
      </c>
      <c r="C308" s="33" t="str">
        <f>IFERROR(__xludf.DUMMYFUNCTION("""COMPUTED_VALUE"""),"Gaming")</f>
        <v>Gaming</v>
      </c>
      <c r="D308" s="33" t="str">
        <f>IFERROR(__xludf.DUMMYFUNCTION("""COMPUTED_VALUE"""),"Gifts")</f>
        <v>Gifts</v>
      </c>
      <c r="E308" s="33" t="str">
        <f>IFERROR(__xludf.DUMMYFUNCTION("""COMPUTED_VALUE"""),"Groceries")</f>
        <v>Groceries</v>
      </c>
      <c r="F308" s="33" t="str">
        <f>IFERROR(__xludf.DUMMYFUNCTION("""COMPUTED_VALUE"""),"Healthcare")</f>
        <v>Healthcare</v>
      </c>
      <c r="G308" s="33" t="str">
        <f>IFERROR(__xludf.DUMMYFUNCTION("""COMPUTED_VALUE"""),"Hobbies")</f>
        <v>Hobbies</v>
      </c>
      <c r="H308" s="33" t="str">
        <f>IFERROR(__xludf.DUMMYFUNCTION("""COMPUTED_VALUE"""),"Household Items")</f>
        <v>Household Items</v>
      </c>
      <c r="I308" s="33" t="str">
        <f>IFERROR(__xludf.DUMMYFUNCTION("""COMPUTED_VALUE"""),"Subscriptions")</f>
        <v>Subscriptions</v>
      </c>
      <c r="J308" s="33" t="str">
        <f>IFERROR(__xludf.DUMMYFUNCTION("""COMPUTED_VALUE"""),"Transportation")</f>
        <v>Transportation</v>
      </c>
      <c r="K308" s="33" t="str">
        <f>IFERROR(__xludf.DUMMYFUNCTION("""COMPUTED_VALUE"""),"Travel")</f>
        <v>Travel</v>
      </c>
    </row>
    <row r="309">
      <c r="A309" s="33" t="str">
        <f>IFERROR(__xludf.DUMMYFUNCTION("""COMPUTED_VALUE"""),"Cashback")</f>
        <v>Cashback</v>
      </c>
      <c r="B309" s="33" t="str">
        <f>IFERROR(__xludf.DUMMYFUNCTION("""COMPUTED_VALUE"""),"Investment Returns")</f>
        <v>Investment Returns</v>
      </c>
      <c r="C309" s="33" t="str">
        <f>IFERROR(__xludf.DUMMYFUNCTION("""COMPUTED_VALUE"""),"Paycheck")</f>
        <v>Paycheck</v>
      </c>
      <c r="D309" s="33" t="str">
        <f>IFERROR(__xludf.DUMMYFUNCTION("""COMPUTED_VALUE"""),"Reimbursement")</f>
        <v>Reimbursement</v>
      </c>
      <c r="E309" s="33" t="str">
        <f>IFERROR(__xludf.DUMMYFUNCTION("""COMPUTED_VALUE"""),"Rewards")</f>
        <v>Rewards</v>
      </c>
      <c r="F309" s="33"/>
      <c r="G309" s="33"/>
      <c r="H309" s="33"/>
      <c r="I309" s="33"/>
      <c r="J309" s="33"/>
      <c r="K309" s="33"/>
    </row>
    <row r="310">
      <c r="A310" s="33" t="str">
        <f>IFERROR(__xludf.DUMMYFUNCTION("""COMPUTED_VALUE"""),"Cashback")</f>
        <v>Cashback</v>
      </c>
      <c r="B310" s="33" t="str">
        <f>IFERROR(__xludf.DUMMYFUNCTION("""COMPUTED_VALUE"""),"Investment Returns")</f>
        <v>Investment Returns</v>
      </c>
      <c r="C310" s="33" t="str">
        <f>IFERROR(__xludf.DUMMYFUNCTION("""COMPUTED_VALUE"""),"Paycheck")</f>
        <v>Paycheck</v>
      </c>
      <c r="D310" s="33" t="str">
        <f>IFERROR(__xludf.DUMMYFUNCTION("""COMPUTED_VALUE"""),"Reimbursement")</f>
        <v>Reimbursement</v>
      </c>
      <c r="E310" s="33" t="str">
        <f>IFERROR(__xludf.DUMMYFUNCTION("""COMPUTED_VALUE"""),"Rewards")</f>
        <v>Rewards</v>
      </c>
      <c r="F310" s="33"/>
      <c r="G310" s="33"/>
      <c r="H310" s="33"/>
      <c r="I310" s="33"/>
      <c r="J310" s="33"/>
      <c r="K310" s="33"/>
    </row>
    <row r="311">
      <c r="A311" s="33" t="str">
        <f>IFERROR(__xludf.DUMMYFUNCTION("""COMPUTED_VALUE"""),"FHSA")</f>
        <v>FHSA</v>
      </c>
      <c r="B311" s="33" t="str">
        <f>IFERROR(__xludf.DUMMYFUNCTION("""COMPUTED_VALUE"""),"RRSP")</f>
        <v>RRSP</v>
      </c>
      <c r="C311" s="33" t="str">
        <f>IFERROR(__xludf.DUMMYFUNCTION("""COMPUTED_VALUE"""),"TFSA")</f>
        <v>TFSA</v>
      </c>
      <c r="D311" s="33"/>
      <c r="E311" s="33"/>
      <c r="F311" s="33"/>
      <c r="G311" s="33"/>
      <c r="H311" s="33"/>
      <c r="I311" s="33"/>
      <c r="J311" s="33"/>
      <c r="K311" s="33"/>
    </row>
    <row r="312">
      <c r="A312" s="33" t="str">
        <f>IFERROR(__xludf.DUMMYFUNCTION("""COMPUTED_VALUE"""),"Deposit")</f>
        <v>Deposit</v>
      </c>
      <c r="B312" s="33" t="str">
        <f>IFERROR(__xludf.DUMMYFUNCTION("""COMPUTED_VALUE"""),"Withdrawal")</f>
        <v>Withdrawal</v>
      </c>
      <c r="C312" s="33"/>
      <c r="D312" s="33"/>
      <c r="E312" s="33"/>
      <c r="F312" s="33"/>
      <c r="G312" s="33"/>
      <c r="H312" s="33"/>
      <c r="I312" s="33"/>
      <c r="J312" s="33"/>
      <c r="K312" s="33"/>
    </row>
    <row r="313">
      <c r="A313" s="33" t="str">
        <f>IFERROR(__xludf.DUMMYFUNCTION("""COMPUTED_VALUE"""),"FHSA")</f>
        <v>FHSA</v>
      </c>
      <c r="B313" s="33" t="str">
        <f>IFERROR(__xludf.DUMMYFUNCTION("""COMPUTED_VALUE"""),"RRSP")</f>
        <v>RRSP</v>
      </c>
      <c r="C313" s="33" t="str">
        <f>IFERROR(__xludf.DUMMYFUNCTION("""COMPUTED_VALUE"""),"TFSA")</f>
        <v>TFSA</v>
      </c>
      <c r="D313" s="33"/>
      <c r="E313" s="33"/>
      <c r="F313" s="33"/>
      <c r="G313" s="33"/>
      <c r="H313" s="33"/>
      <c r="I313" s="33"/>
      <c r="J313" s="33"/>
      <c r="K313" s="33"/>
    </row>
    <row r="314">
      <c r="A314" s="33" t="str">
        <f>IFERROR(__xludf.DUMMYFUNCTION("""COMPUTED_VALUE"""),"Deposit")</f>
        <v>Deposit</v>
      </c>
      <c r="B314" s="33" t="str">
        <f>IFERROR(__xludf.DUMMYFUNCTION("""COMPUTED_VALUE"""),"Withdrawal")</f>
        <v>Withdrawal</v>
      </c>
      <c r="C314" s="33"/>
      <c r="D314" s="33"/>
      <c r="E314" s="33"/>
      <c r="F314" s="33"/>
      <c r="G314" s="33"/>
      <c r="H314" s="33"/>
      <c r="I314" s="33"/>
      <c r="J314" s="33"/>
      <c r="K314" s="33"/>
    </row>
    <row r="315">
      <c r="A315" s="33" t="str">
        <f>IFERROR(__xludf.DUMMYFUNCTION("""COMPUTED_VALUE"""),"Car Fund")</f>
        <v>Car Fund</v>
      </c>
      <c r="B315" s="33" t="str">
        <f>IFERROR(__xludf.DUMMYFUNCTION("""COMPUTED_VALUE"""),"Emergency Fund")</f>
        <v>Emergency Fund</v>
      </c>
      <c r="C315" s="33" t="str">
        <f>IFERROR(__xludf.DUMMYFUNCTION("""COMPUTED_VALUE"""),"Family Fund")</f>
        <v>Family Fund</v>
      </c>
      <c r="D315" s="33" t="str">
        <f>IFERROR(__xludf.DUMMYFUNCTION("""COMPUTED_VALUE"""),"Kenji Fund")</f>
        <v>Kenji Fund</v>
      </c>
      <c r="E315" s="33" t="str">
        <f>IFERROR(__xludf.DUMMYFUNCTION("""COMPUTED_VALUE"""),"Mei Fund")</f>
        <v>Mei Fund</v>
      </c>
      <c r="F315" s="33" t="str">
        <f>IFERROR(__xludf.DUMMYFUNCTION("""COMPUTED_VALUE"""),"Pet Fund")</f>
        <v>Pet Fund</v>
      </c>
      <c r="G315" s="33" t="str">
        <f>IFERROR(__xludf.DUMMYFUNCTION("""COMPUTED_VALUE"""),"Vacation Fund")</f>
        <v>Vacation Fund</v>
      </c>
      <c r="H315" s="33"/>
      <c r="I315" s="33"/>
      <c r="J315" s="33"/>
      <c r="K315" s="33"/>
    </row>
    <row r="316">
      <c r="A316" s="33" t="str">
        <f>IFERROR(__xludf.DUMMYFUNCTION("""COMPUTED_VALUE"""),"Deposit")</f>
        <v>Deposit</v>
      </c>
      <c r="B316" s="33" t="str">
        <f>IFERROR(__xludf.DUMMYFUNCTION("""COMPUTED_VALUE"""),"Withdrawal")</f>
        <v>Withdrawal</v>
      </c>
      <c r="C316" s="33"/>
      <c r="D316" s="33"/>
      <c r="E316" s="33"/>
      <c r="F316" s="33"/>
      <c r="G316" s="33"/>
      <c r="H316" s="33"/>
      <c r="I316" s="33"/>
      <c r="J316" s="33"/>
      <c r="K316" s="33"/>
    </row>
    <row r="317">
      <c r="A317" s="33" t="str">
        <f>IFERROR(__xludf.DUMMYFUNCTION("""COMPUTED_VALUE"""),"Clothing")</f>
        <v>Clothing</v>
      </c>
      <c r="B317" s="33" t="str">
        <f>IFERROR(__xludf.DUMMYFUNCTION("""COMPUTED_VALUE"""),"Gaming")</f>
        <v>Gaming</v>
      </c>
      <c r="C317" s="33" t="str">
        <f>IFERROR(__xludf.DUMMYFUNCTION("""COMPUTED_VALUE"""),"Gifts")</f>
        <v>Gifts</v>
      </c>
      <c r="D317" s="33" t="str">
        <f>IFERROR(__xludf.DUMMYFUNCTION("""COMPUTED_VALUE"""),"Healthcare")</f>
        <v>Healthcare</v>
      </c>
      <c r="E317" s="33" t="str">
        <f>IFERROR(__xludf.DUMMYFUNCTION("""COMPUTED_VALUE"""),"Hobbies")</f>
        <v>Hobbies</v>
      </c>
      <c r="F317" s="33" t="str">
        <f>IFERROR(__xludf.DUMMYFUNCTION("""COMPUTED_VALUE"""),"Subscriptions")</f>
        <v>Subscriptions</v>
      </c>
      <c r="G317" s="33"/>
      <c r="H317" s="33"/>
      <c r="I317" s="33"/>
      <c r="J317" s="33"/>
      <c r="K317" s="33"/>
    </row>
    <row r="318">
      <c r="A318" s="33" t="str">
        <f>IFERROR(__xludf.DUMMYFUNCTION("""COMPUTED_VALUE"""),"Boarding")</f>
        <v>Boarding</v>
      </c>
      <c r="B318" s="33" t="str">
        <f>IFERROR(__xludf.DUMMYFUNCTION("""COMPUTED_VALUE"""),"Clothing")</f>
        <v>Clothing</v>
      </c>
      <c r="C318" s="33" t="str">
        <f>IFERROR(__xludf.DUMMYFUNCTION("""COMPUTED_VALUE"""),"Daycare")</f>
        <v>Daycare</v>
      </c>
      <c r="D318" s="33" t="str">
        <f>IFERROR(__xludf.DUMMYFUNCTION("""COMPUTED_VALUE"""),"Grooming")</f>
        <v>Grooming</v>
      </c>
      <c r="E318" s="33" t="str">
        <f>IFERROR(__xludf.DUMMYFUNCTION("""COMPUTED_VALUE"""),"Toys")</f>
        <v>Toys</v>
      </c>
      <c r="F318" s="33" t="str">
        <f>IFERROR(__xludf.DUMMYFUNCTION("""COMPUTED_VALUE"""),"Treats")</f>
        <v>Treats</v>
      </c>
      <c r="G318" s="33"/>
      <c r="H318" s="33"/>
      <c r="I318" s="33"/>
      <c r="J318" s="33"/>
      <c r="K318" s="33"/>
    </row>
    <row r="319">
      <c r="A319" s="33" t="str">
        <f>IFERROR(__xludf.DUMMYFUNCTION("""COMPUTED_VALUE"""),"Debt")</f>
        <v>Debt</v>
      </c>
      <c r="B319" s="33" t="str">
        <f>IFERROR(__xludf.DUMMYFUNCTION("""COMPUTED_VALUE"""),"Groceries")</f>
        <v>Groceries</v>
      </c>
      <c r="C319" s="33" t="str">
        <f>IFERROR(__xludf.DUMMYFUNCTION("""COMPUTED_VALUE"""),"Healthcare")</f>
        <v>Healthcare</v>
      </c>
      <c r="D319" s="33" t="str">
        <f>IFERROR(__xludf.DUMMYFUNCTION("""COMPUTED_VALUE"""),"Household Items")</f>
        <v>Household Items</v>
      </c>
      <c r="E319" s="33" t="str">
        <f>IFERROR(__xludf.DUMMYFUNCTION("""COMPUTED_VALUE"""),"Housing")</f>
        <v>Housing</v>
      </c>
      <c r="F319" s="33" t="str">
        <f>IFERROR(__xludf.DUMMYFUNCTION("""COMPUTED_VALUE"""),"Miscellaneous")</f>
        <v>Miscellaneous</v>
      </c>
      <c r="G319" s="33" t="str">
        <f>IFERROR(__xludf.DUMMYFUNCTION("""COMPUTED_VALUE"""),"Pet")</f>
        <v>Pet</v>
      </c>
      <c r="H319" s="33" t="str">
        <f>IFERROR(__xludf.DUMMYFUNCTION("""COMPUTED_VALUE"""),"Transportation")</f>
        <v>Transportation</v>
      </c>
      <c r="I319" s="33"/>
      <c r="J319" s="33"/>
      <c r="K319" s="33"/>
    </row>
    <row r="320">
      <c r="A320" s="33" t="str">
        <f>IFERROR(__xludf.DUMMYFUNCTION("""COMPUTED_VALUE"""),"Debt")</f>
        <v>Debt</v>
      </c>
      <c r="B320" s="33" t="str">
        <f>IFERROR(__xludf.DUMMYFUNCTION("""COMPUTED_VALUE"""),"Groceries")</f>
        <v>Groceries</v>
      </c>
      <c r="C320" s="33" t="str">
        <f>IFERROR(__xludf.DUMMYFUNCTION("""COMPUTED_VALUE"""),"Healthcare")</f>
        <v>Healthcare</v>
      </c>
      <c r="D320" s="33" t="str">
        <f>IFERROR(__xludf.DUMMYFUNCTION("""COMPUTED_VALUE"""),"Household Items")</f>
        <v>Household Items</v>
      </c>
      <c r="E320" s="33" t="str">
        <f>IFERROR(__xludf.DUMMYFUNCTION("""COMPUTED_VALUE"""),"Housing")</f>
        <v>Housing</v>
      </c>
      <c r="F320" s="33" t="str">
        <f>IFERROR(__xludf.DUMMYFUNCTION("""COMPUTED_VALUE"""),"Miscellaneous")</f>
        <v>Miscellaneous</v>
      </c>
      <c r="G320" s="33" t="str">
        <f>IFERROR(__xludf.DUMMYFUNCTION("""COMPUTED_VALUE"""),"Pet")</f>
        <v>Pet</v>
      </c>
      <c r="H320" s="33" t="str">
        <f>IFERROR(__xludf.DUMMYFUNCTION("""COMPUTED_VALUE"""),"Transportation")</f>
        <v>Transportation</v>
      </c>
      <c r="I320" s="33"/>
      <c r="J320" s="33"/>
      <c r="K320" s="33"/>
    </row>
    <row r="321">
      <c r="A321" s="33" t="str">
        <f>IFERROR(__xludf.DUMMYFUNCTION("""COMPUTED_VALUE"""),"Debt")</f>
        <v>Debt</v>
      </c>
      <c r="B321" s="33" t="str">
        <f>IFERROR(__xludf.DUMMYFUNCTION("""COMPUTED_VALUE"""),"Groceries")</f>
        <v>Groceries</v>
      </c>
      <c r="C321" s="33" t="str">
        <f>IFERROR(__xludf.DUMMYFUNCTION("""COMPUTED_VALUE"""),"Healthcare")</f>
        <v>Healthcare</v>
      </c>
      <c r="D321" s="33" t="str">
        <f>IFERROR(__xludf.DUMMYFUNCTION("""COMPUTED_VALUE"""),"Household Items")</f>
        <v>Household Items</v>
      </c>
      <c r="E321" s="33" t="str">
        <f>IFERROR(__xludf.DUMMYFUNCTION("""COMPUTED_VALUE"""),"Housing")</f>
        <v>Housing</v>
      </c>
      <c r="F321" s="33" t="str">
        <f>IFERROR(__xludf.DUMMYFUNCTION("""COMPUTED_VALUE"""),"Miscellaneous")</f>
        <v>Miscellaneous</v>
      </c>
      <c r="G321" s="33" t="str">
        <f>IFERROR(__xludf.DUMMYFUNCTION("""COMPUTED_VALUE"""),"Pet")</f>
        <v>Pet</v>
      </c>
      <c r="H321" s="33" t="str">
        <f>IFERROR(__xludf.DUMMYFUNCTION("""COMPUTED_VALUE"""),"Transportation")</f>
        <v>Transportation</v>
      </c>
      <c r="I321" s="33"/>
      <c r="J321" s="33"/>
      <c r="K321" s="33"/>
    </row>
    <row r="322">
      <c r="A322" s="33" t="str">
        <f>IFERROR(__xludf.DUMMYFUNCTION("""COMPUTED_VALUE"""),"Debt")</f>
        <v>Debt</v>
      </c>
      <c r="B322" s="33" t="str">
        <f>IFERROR(__xludf.DUMMYFUNCTION("""COMPUTED_VALUE"""),"Groceries")</f>
        <v>Groceries</v>
      </c>
      <c r="C322" s="33" t="str">
        <f>IFERROR(__xludf.DUMMYFUNCTION("""COMPUTED_VALUE"""),"Healthcare")</f>
        <v>Healthcare</v>
      </c>
      <c r="D322" s="33" t="str">
        <f>IFERROR(__xludf.DUMMYFUNCTION("""COMPUTED_VALUE"""),"Household Items")</f>
        <v>Household Items</v>
      </c>
      <c r="E322" s="33" t="str">
        <f>IFERROR(__xludf.DUMMYFUNCTION("""COMPUTED_VALUE"""),"Housing")</f>
        <v>Housing</v>
      </c>
      <c r="F322" s="33" t="str">
        <f>IFERROR(__xludf.DUMMYFUNCTION("""COMPUTED_VALUE"""),"Miscellaneous")</f>
        <v>Miscellaneous</v>
      </c>
      <c r="G322" s="33" t="str">
        <f>IFERROR(__xludf.DUMMYFUNCTION("""COMPUTED_VALUE"""),"Pet")</f>
        <v>Pet</v>
      </c>
      <c r="H322" s="33" t="str">
        <f>IFERROR(__xludf.DUMMYFUNCTION("""COMPUTED_VALUE"""),"Transportation")</f>
        <v>Transportation</v>
      </c>
      <c r="I322" s="33"/>
      <c r="J322" s="33"/>
      <c r="K322" s="33"/>
    </row>
    <row r="323">
      <c r="A323" s="33" t="str">
        <f>IFERROR(__xludf.DUMMYFUNCTION("""COMPUTED_VALUE"""),"Cashback")</f>
        <v>Cashback</v>
      </c>
      <c r="B323" s="33" t="str">
        <f>IFERROR(__xludf.DUMMYFUNCTION("""COMPUTED_VALUE"""),"Investment Returns")</f>
        <v>Investment Returns</v>
      </c>
      <c r="C323" s="33" t="str">
        <f>IFERROR(__xludf.DUMMYFUNCTION("""COMPUTED_VALUE"""),"Paycheck")</f>
        <v>Paycheck</v>
      </c>
      <c r="D323" s="33" t="str">
        <f>IFERROR(__xludf.DUMMYFUNCTION("""COMPUTED_VALUE"""),"Reimbursement")</f>
        <v>Reimbursement</v>
      </c>
      <c r="E323" s="33" t="str">
        <f>IFERROR(__xludf.DUMMYFUNCTION("""COMPUTED_VALUE"""),"Rewards")</f>
        <v>Rewards</v>
      </c>
      <c r="F323" s="33"/>
      <c r="G323" s="33"/>
      <c r="H323" s="33"/>
      <c r="I323" s="33"/>
      <c r="J323" s="33"/>
      <c r="K323" s="33"/>
    </row>
    <row r="324">
      <c r="A324" s="33" t="str">
        <f>IFERROR(__xludf.DUMMYFUNCTION("""COMPUTED_VALUE"""),"Dining Out")</f>
        <v>Dining Out</v>
      </c>
      <c r="B324" s="33" t="str">
        <f>IFERROR(__xludf.DUMMYFUNCTION("""COMPUTED_VALUE"""),"Entertainment")</f>
        <v>Entertainment</v>
      </c>
      <c r="C324" s="33" t="str">
        <f>IFERROR(__xludf.DUMMYFUNCTION("""COMPUTED_VALUE"""),"Gaming")</f>
        <v>Gaming</v>
      </c>
      <c r="D324" s="33" t="str">
        <f>IFERROR(__xludf.DUMMYFUNCTION("""COMPUTED_VALUE"""),"Gifts")</f>
        <v>Gifts</v>
      </c>
      <c r="E324" s="33" t="str">
        <f>IFERROR(__xludf.DUMMYFUNCTION("""COMPUTED_VALUE"""),"Groceries")</f>
        <v>Groceries</v>
      </c>
      <c r="F324" s="33" t="str">
        <f>IFERROR(__xludf.DUMMYFUNCTION("""COMPUTED_VALUE"""),"Healthcare")</f>
        <v>Healthcare</v>
      </c>
      <c r="G324" s="33" t="str">
        <f>IFERROR(__xludf.DUMMYFUNCTION("""COMPUTED_VALUE"""),"Hobbies")</f>
        <v>Hobbies</v>
      </c>
      <c r="H324" s="33" t="str">
        <f>IFERROR(__xludf.DUMMYFUNCTION("""COMPUTED_VALUE"""),"Household Items")</f>
        <v>Household Items</v>
      </c>
      <c r="I324" s="33" t="str">
        <f>IFERROR(__xludf.DUMMYFUNCTION("""COMPUTED_VALUE"""),"Subscriptions")</f>
        <v>Subscriptions</v>
      </c>
      <c r="J324" s="33" t="str">
        <f>IFERROR(__xludf.DUMMYFUNCTION("""COMPUTED_VALUE"""),"Transportation")</f>
        <v>Transportation</v>
      </c>
      <c r="K324" s="33" t="str">
        <f>IFERROR(__xludf.DUMMYFUNCTION("""COMPUTED_VALUE"""),"Travel")</f>
        <v>Travel</v>
      </c>
    </row>
    <row r="325">
      <c r="A325" s="33" t="str">
        <f>IFERROR(__xludf.DUMMYFUNCTION("""COMPUTED_VALUE"""),"Dining Out")</f>
        <v>Dining Out</v>
      </c>
      <c r="B325" s="33" t="str">
        <f>IFERROR(__xludf.DUMMYFUNCTION("""COMPUTED_VALUE"""),"Entertainment")</f>
        <v>Entertainment</v>
      </c>
      <c r="C325" s="33" t="str">
        <f>IFERROR(__xludf.DUMMYFUNCTION("""COMPUTED_VALUE"""),"Gaming")</f>
        <v>Gaming</v>
      </c>
      <c r="D325" s="33" t="str">
        <f>IFERROR(__xludf.DUMMYFUNCTION("""COMPUTED_VALUE"""),"Gifts")</f>
        <v>Gifts</v>
      </c>
      <c r="E325" s="33" t="str">
        <f>IFERROR(__xludf.DUMMYFUNCTION("""COMPUTED_VALUE"""),"Groceries")</f>
        <v>Groceries</v>
      </c>
      <c r="F325" s="33" t="str">
        <f>IFERROR(__xludf.DUMMYFUNCTION("""COMPUTED_VALUE"""),"Healthcare")</f>
        <v>Healthcare</v>
      </c>
      <c r="G325" s="33" t="str">
        <f>IFERROR(__xludf.DUMMYFUNCTION("""COMPUTED_VALUE"""),"Hobbies")</f>
        <v>Hobbies</v>
      </c>
      <c r="H325" s="33" t="str">
        <f>IFERROR(__xludf.DUMMYFUNCTION("""COMPUTED_VALUE"""),"Household Items")</f>
        <v>Household Items</v>
      </c>
      <c r="I325" s="33" t="str">
        <f>IFERROR(__xludf.DUMMYFUNCTION("""COMPUTED_VALUE"""),"Subscriptions")</f>
        <v>Subscriptions</v>
      </c>
      <c r="J325" s="33" t="str">
        <f>IFERROR(__xludf.DUMMYFUNCTION("""COMPUTED_VALUE"""),"Transportation")</f>
        <v>Transportation</v>
      </c>
      <c r="K325" s="33" t="str">
        <f>IFERROR(__xludf.DUMMYFUNCTION("""COMPUTED_VALUE"""),"Travel")</f>
        <v>Travel</v>
      </c>
    </row>
    <row r="326">
      <c r="A326" s="33" t="str">
        <f>IFERROR(__xludf.DUMMYFUNCTION("""COMPUTED_VALUE"""),"Dining Out")</f>
        <v>Dining Out</v>
      </c>
      <c r="B326" s="33" t="str">
        <f>IFERROR(__xludf.DUMMYFUNCTION("""COMPUTED_VALUE"""),"Entertainment")</f>
        <v>Entertainment</v>
      </c>
      <c r="C326" s="33" t="str">
        <f>IFERROR(__xludf.DUMMYFUNCTION("""COMPUTED_VALUE"""),"Gaming")</f>
        <v>Gaming</v>
      </c>
      <c r="D326" s="33" t="str">
        <f>IFERROR(__xludf.DUMMYFUNCTION("""COMPUTED_VALUE"""),"Gifts")</f>
        <v>Gifts</v>
      </c>
      <c r="E326" s="33" t="str">
        <f>IFERROR(__xludf.DUMMYFUNCTION("""COMPUTED_VALUE"""),"Groceries")</f>
        <v>Groceries</v>
      </c>
      <c r="F326" s="33" t="str">
        <f>IFERROR(__xludf.DUMMYFUNCTION("""COMPUTED_VALUE"""),"Healthcare")</f>
        <v>Healthcare</v>
      </c>
      <c r="G326" s="33" t="str">
        <f>IFERROR(__xludf.DUMMYFUNCTION("""COMPUTED_VALUE"""),"Hobbies")</f>
        <v>Hobbies</v>
      </c>
      <c r="H326" s="33" t="str">
        <f>IFERROR(__xludf.DUMMYFUNCTION("""COMPUTED_VALUE"""),"Household Items")</f>
        <v>Household Items</v>
      </c>
      <c r="I326" s="33" t="str">
        <f>IFERROR(__xludf.DUMMYFUNCTION("""COMPUTED_VALUE"""),"Subscriptions")</f>
        <v>Subscriptions</v>
      </c>
      <c r="J326" s="33" t="str">
        <f>IFERROR(__xludf.DUMMYFUNCTION("""COMPUTED_VALUE"""),"Transportation")</f>
        <v>Transportation</v>
      </c>
      <c r="K326" s="33" t="str">
        <f>IFERROR(__xludf.DUMMYFUNCTION("""COMPUTED_VALUE"""),"Travel")</f>
        <v>Travel</v>
      </c>
    </row>
    <row r="327">
      <c r="A327" s="33" t="str">
        <f>IFERROR(__xludf.DUMMYFUNCTION("""COMPUTED_VALUE"""),"Debt")</f>
        <v>Debt</v>
      </c>
      <c r="B327" s="33" t="str">
        <f>IFERROR(__xludf.DUMMYFUNCTION("""COMPUTED_VALUE"""),"Groceries")</f>
        <v>Groceries</v>
      </c>
      <c r="C327" s="33" t="str">
        <f>IFERROR(__xludf.DUMMYFUNCTION("""COMPUTED_VALUE"""),"Healthcare")</f>
        <v>Healthcare</v>
      </c>
      <c r="D327" s="33" t="str">
        <f>IFERROR(__xludf.DUMMYFUNCTION("""COMPUTED_VALUE"""),"Household Items")</f>
        <v>Household Items</v>
      </c>
      <c r="E327" s="33" t="str">
        <f>IFERROR(__xludf.DUMMYFUNCTION("""COMPUTED_VALUE"""),"Housing")</f>
        <v>Housing</v>
      </c>
      <c r="F327" s="33" t="str">
        <f>IFERROR(__xludf.DUMMYFUNCTION("""COMPUTED_VALUE"""),"Miscellaneous")</f>
        <v>Miscellaneous</v>
      </c>
      <c r="G327" s="33" t="str">
        <f>IFERROR(__xludf.DUMMYFUNCTION("""COMPUTED_VALUE"""),"Pet")</f>
        <v>Pet</v>
      </c>
      <c r="H327" s="33" t="str">
        <f>IFERROR(__xludf.DUMMYFUNCTION("""COMPUTED_VALUE"""),"Transportation")</f>
        <v>Transportation</v>
      </c>
      <c r="I327" s="33"/>
      <c r="J327" s="33"/>
      <c r="K327" s="33"/>
    </row>
    <row r="328">
      <c r="A328" s="33" t="str">
        <f>IFERROR(__xludf.DUMMYFUNCTION("""COMPUTED_VALUE"""),"Debt")</f>
        <v>Debt</v>
      </c>
      <c r="B328" s="33" t="str">
        <f>IFERROR(__xludf.DUMMYFUNCTION("""COMPUTED_VALUE"""),"Groceries")</f>
        <v>Groceries</v>
      </c>
      <c r="C328" s="33" t="str">
        <f>IFERROR(__xludf.DUMMYFUNCTION("""COMPUTED_VALUE"""),"Healthcare")</f>
        <v>Healthcare</v>
      </c>
      <c r="D328" s="33" t="str">
        <f>IFERROR(__xludf.DUMMYFUNCTION("""COMPUTED_VALUE"""),"Household Items")</f>
        <v>Household Items</v>
      </c>
      <c r="E328" s="33" t="str">
        <f>IFERROR(__xludf.DUMMYFUNCTION("""COMPUTED_VALUE"""),"Housing")</f>
        <v>Housing</v>
      </c>
      <c r="F328" s="33" t="str">
        <f>IFERROR(__xludf.DUMMYFUNCTION("""COMPUTED_VALUE"""),"Miscellaneous")</f>
        <v>Miscellaneous</v>
      </c>
      <c r="G328" s="33" t="str">
        <f>IFERROR(__xludf.DUMMYFUNCTION("""COMPUTED_VALUE"""),"Pet")</f>
        <v>Pet</v>
      </c>
      <c r="H328" s="33" t="str">
        <f>IFERROR(__xludf.DUMMYFUNCTION("""COMPUTED_VALUE"""),"Transportation")</f>
        <v>Transportation</v>
      </c>
      <c r="I328" s="33"/>
      <c r="J328" s="33"/>
      <c r="K328" s="33"/>
    </row>
    <row r="329">
      <c r="A329" s="33" t="str">
        <f>IFERROR(__xludf.DUMMYFUNCTION("""COMPUTED_VALUE"""),"Debt")</f>
        <v>Debt</v>
      </c>
      <c r="B329" s="33" t="str">
        <f>IFERROR(__xludf.DUMMYFUNCTION("""COMPUTED_VALUE"""),"Groceries")</f>
        <v>Groceries</v>
      </c>
      <c r="C329" s="33" t="str">
        <f>IFERROR(__xludf.DUMMYFUNCTION("""COMPUTED_VALUE"""),"Healthcare")</f>
        <v>Healthcare</v>
      </c>
      <c r="D329" s="33" t="str">
        <f>IFERROR(__xludf.DUMMYFUNCTION("""COMPUTED_VALUE"""),"Household Items")</f>
        <v>Household Items</v>
      </c>
      <c r="E329" s="33" t="str">
        <f>IFERROR(__xludf.DUMMYFUNCTION("""COMPUTED_VALUE"""),"Housing")</f>
        <v>Housing</v>
      </c>
      <c r="F329" s="33" t="str">
        <f>IFERROR(__xludf.DUMMYFUNCTION("""COMPUTED_VALUE"""),"Miscellaneous")</f>
        <v>Miscellaneous</v>
      </c>
      <c r="G329" s="33" t="str">
        <f>IFERROR(__xludf.DUMMYFUNCTION("""COMPUTED_VALUE"""),"Pet")</f>
        <v>Pet</v>
      </c>
      <c r="H329" s="33" t="str">
        <f>IFERROR(__xludf.DUMMYFUNCTION("""COMPUTED_VALUE"""),"Transportation")</f>
        <v>Transportation</v>
      </c>
      <c r="I329" s="33"/>
      <c r="J329" s="33"/>
      <c r="K329" s="33"/>
    </row>
    <row r="330">
      <c r="A330" s="33" t="str">
        <f>IFERROR(__xludf.DUMMYFUNCTION("""COMPUTED_VALUE"""),"Debt")</f>
        <v>Debt</v>
      </c>
      <c r="B330" s="33" t="str">
        <f>IFERROR(__xludf.DUMMYFUNCTION("""COMPUTED_VALUE"""),"Groceries")</f>
        <v>Groceries</v>
      </c>
      <c r="C330" s="33" t="str">
        <f>IFERROR(__xludf.DUMMYFUNCTION("""COMPUTED_VALUE"""),"Healthcare")</f>
        <v>Healthcare</v>
      </c>
      <c r="D330" s="33" t="str">
        <f>IFERROR(__xludf.DUMMYFUNCTION("""COMPUTED_VALUE"""),"Household Items")</f>
        <v>Household Items</v>
      </c>
      <c r="E330" s="33" t="str">
        <f>IFERROR(__xludf.DUMMYFUNCTION("""COMPUTED_VALUE"""),"Housing")</f>
        <v>Housing</v>
      </c>
      <c r="F330" s="33" t="str">
        <f>IFERROR(__xludf.DUMMYFUNCTION("""COMPUTED_VALUE"""),"Miscellaneous")</f>
        <v>Miscellaneous</v>
      </c>
      <c r="G330" s="33" t="str">
        <f>IFERROR(__xludf.DUMMYFUNCTION("""COMPUTED_VALUE"""),"Pet")</f>
        <v>Pet</v>
      </c>
      <c r="H330" s="33" t="str">
        <f>IFERROR(__xludf.DUMMYFUNCTION("""COMPUTED_VALUE"""),"Transportation")</f>
        <v>Transportation</v>
      </c>
      <c r="I330" s="33"/>
      <c r="J330" s="33"/>
      <c r="K330" s="33"/>
    </row>
    <row r="331">
      <c r="A331" s="33" t="str">
        <f>IFERROR(__xludf.DUMMYFUNCTION("""COMPUTED_VALUE"""),"Debt")</f>
        <v>Debt</v>
      </c>
      <c r="B331" s="33" t="str">
        <f>IFERROR(__xludf.DUMMYFUNCTION("""COMPUTED_VALUE"""),"Groceries")</f>
        <v>Groceries</v>
      </c>
      <c r="C331" s="33" t="str">
        <f>IFERROR(__xludf.DUMMYFUNCTION("""COMPUTED_VALUE"""),"Healthcare")</f>
        <v>Healthcare</v>
      </c>
      <c r="D331" s="33" t="str">
        <f>IFERROR(__xludf.DUMMYFUNCTION("""COMPUTED_VALUE"""),"Household Items")</f>
        <v>Household Items</v>
      </c>
      <c r="E331" s="33" t="str">
        <f>IFERROR(__xludf.DUMMYFUNCTION("""COMPUTED_VALUE"""),"Housing")</f>
        <v>Housing</v>
      </c>
      <c r="F331" s="33" t="str">
        <f>IFERROR(__xludf.DUMMYFUNCTION("""COMPUTED_VALUE"""),"Miscellaneous")</f>
        <v>Miscellaneous</v>
      </c>
      <c r="G331" s="33" t="str">
        <f>IFERROR(__xludf.DUMMYFUNCTION("""COMPUTED_VALUE"""),"Pet")</f>
        <v>Pet</v>
      </c>
      <c r="H331" s="33" t="str">
        <f>IFERROR(__xludf.DUMMYFUNCTION("""COMPUTED_VALUE"""),"Transportation")</f>
        <v>Transportation</v>
      </c>
      <c r="I331" s="33"/>
      <c r="J331" s="33"/>
      <c r="K331" s="33"/>
    </row>
    <row r="332">
      <c r="A332" s="33" t="str">
        <f>IFERROR(__xludf.DUMMYFUNCTION("""COMPUTED_VALUE"""),"Debt")</f>
        <v>Debt</v>
      </c>
      <c r="B332" s="33" t="str">
        <f>IFERROR(__xludf.DUMMYFUNCTION("""COMPUTED_VALUE"""),"Groceries")</f>
        <v>Groceries</v>
      </c>
      <c r="C332" s="33" t="str">
        <f>IFERROR(__xludf.DUMMYFUNCTION("""COMPUTED_VALUE"""),"Healthcare")</f>
        <v>Healthcare</v>
      </c>
      <c r="D332" s="33" t="str">
        <f>IFERROR(__xludf.DUMMYFUNCTION("""COMPUTED_VALUE"""),"Household Items")</f>
        <v>Household Items</v>
      </c>
      <c r="E332" s="33" t="str">
        <f>IFERROR(__xludf.DUMMYFUNCTION("""COMPUTED_VALUE"""),"Housing")</f>
        <v>Housing</v>
      </c>
      <c r="F332" s="33" t="str">
        <f>IFERROR(__xludf.DUMMYFUNCTION("""COMPUTED_VALUE"""),"Miscellaneous")</f>
        <v>Miscellaneous</v>
      </c>
      <c r="G332" s="33" t="str">
        <f>IFERROR(__xludf.DUMMYFUNCTION("""COMPUTED_VALUE"""),"Pet")</f>
        <v>Pet</v>
      </c>
      <c r="H332" s="33" t="str">
        <f>IFERROR(__xludf.DUMMYFUNCTION("""COMPUTED_VALUE"""),"Transportation")</f>
        <v>Transportation</v>
      </c>
      <c r="I332" s="33"/>
      <c r="J332" s="33"/>
      <c r="K332" s="33"/>
    </row>
    <row r="333">
      <c r="A333" s="33" t="str">
        <f>IFERROR(__xludf.DUMMYFUNCTION("""COMPUTED_VALUE"""),"Debt")</f>
        <v>Debt</v>
      </c>
      <c r="B333" s="33" t="str">
        <f>IFERROR(__xludf.DUMMYFUNCTION("""COMPUTED_VALUE"""),"Groceries")</f>
        <v>Groceries</v>
      </c>
      <c r="C333" s="33" t="str">
        <f>IFERROR(__xludf.DUMMYFUNCTION("""COMPUTED_VALUE"""),"Healthcare")</f>
        <v>Healthcare</v>
      </c>
      <c r="D333" s="33" t="str">
        <f>IFERROR(__xludf.DUMMYFUNCTION("""COMPUTED_VALUE"""),"Household Items")</f>
        <v>Household Items</v>
      </c>
      <c r="E333" s="33" t="str">
        <f>IFERROR(__xludf.DUMMYFUNCTION("""COMPUTED_VALUE"""),"Housing")</f>
        <v>Housing</v>
      </c>
      <c r="F333" s="33" t="str">
        <f>IFERROR(__xludf.DUMMYFUNCTION("""COMPUTED_VALUE"""),"Miscellaneous")</f>
        <v>Miscellaneous</v>
      </c>
      <c r="G333" s="33" t="str">
        <f>IFERROR(__xludf.DUMMYFUNCTION("""COMPUTED_VALUE"""),"Pet")</f>
        <v>Pet</v>
      </c>
      <c r="H333" s="33" t="str">
        <f>IFERROR(__xludf.DUMMYFUNCTION("""COMPUTED_VALUE"""),"Transportation")</f>
        <v>Transportation</v>
      </c>
      <c r="I333" s="33"/>
      <c r="J333" s="33"/>
      <c r="K333" s="33"/>
    </row>
    <row r="334">
      <c r="A334" s="33" t="str">
        <f>IFERROR(__xludf.DUMMYFUNCTION("""COMPUTED_VALUE"""),"Debt")</f>
        <v>Debt</v>
      </c>
      <c r="B334" s="33" t="str">
        <f>IFERROR(__xludf.DUMMYFUNCTION("""COMPUTED_VALUE"""),"Groceries")</f>
        <v>Groceries</v>
      </c>
      <c r="C334" s="33" t="str">
        <f>IFERROR(__xludf.DUMMYFUNCTION("""COMPUTED_VALUE"""),"Healthcare")</f>
        <v>Healthcare</v>
      </c>
      <c r="D334" s="33" t="str">
        <f>IFERROR(__xludf.DUMMYFUNCTION("""COMPUTED_VALUE"""),"Household Items")</f>
        <v>Household Items</v>
      </c>
      <c r="E334" s="33" t="str">
        <f>IFERROR(__xludf.DUMMYFUNCTION("""COMPUTED_VALUE"""),"Housing")</f>
        <v>Housing</v>
      </c>
      <c r="F334" s="33" t="str">
        <f>IFERROR(__xludf.DUMMYFUNCTION("""COMPUTED_VALUE"""),"Miscellaneous")</f>
        <v>Miscellaneous</v>
      </c>
      <c r="G334" s="33" t="str">
        <f>IFERROR(__xludf.DUMMYFUNCTION("""COMPUTED_VALUE"""),"Pet")</f>
        <v>Pet</v>
      </c>
      <c r="H334" s="33" t="str">
        <f>IFERROR(__xludf.DUMMYFUNCTION("""COMPUTED_VALUE"""),"Transportation")</f>
        <v>Transportation</v>
      </c>
      <c r="I334" s="33"/>
      <c r="J334" s="33"/>
      <c r="K334" s="33"/>
    </row>
    <row r="335">
      <c r="A335" s="33" t="str">
        <f>IFERROR(__xludf.DUMMYFUNCTION("""COMPUTED_VALUE"""),"Debt")</f>
        <v>Debt</v>
      </c>
      <c r="B335" s="33" t="str">
        <f>IFERROR(__xludf.DUMMYFUNCTION("""COMPUTED_VALUE"""),"Groceries")</f>
        <v>Groceries</v>
      </c>
      <c r="C335" s="33" t="str">
        <f>IFERROR(__xludf.DUMMYFUNCTION("""COMPUTED_VALUE"""),"Healthcare")</f>
        <v>Healthcare</v>
      </c>
      <c r="D335" s="33" t="str">
        <f>IFERROR(__xludf.DUMMYFUNCTION("""COMPUTED_VALUE"""),"Household Items")</f>
        <v>Household Items</v>
      </c>
      <c r="E335" s="33" t="str">
        <f>IFERROR(__xludf.DUMMYFUNCTION("""COMPUTED_VALUE"""),"Housing")</f>
        <v>Housing</v>
      </c>
      <c r="F335" s="33" t="str">
        <f>IFERROR(__xludf.DUMMYFUNCTION("""COMPUTED_VALUE"""),"Miscellaneous")</f>
        <v>Miscellaneous</v>
      </c>
      <c r="G335" s="33" t="str">
        <f>IFERROR(__xludf.DUMMYFUNCTION("""COMPUTED_VALUE"""),"Pet")</f>
        <v>Pet</v>
      </c>
      <c r="H335" s="33" t="str">
        <f>IFERROR(__xludf.DUMMYFUNCTION("""COMPUTED_VALUE"""),"Transportation")</f>
        <v>Transportation</v>
      </c>
      <c r="I335" s="33"/>
      <c r="J335" s="33"/>
      <c r="K335" s="33"/>
    </row>
    <row r="336">
      <c r="A336" s="33" t="str">
        <f>IFERROR(__xludf.DUMMYFUNCTION("""COMPUTED_VALUE"""),"Debt")</f>
        <v>Debt</v>
      </c>
      <c r="B336" s="33" t="str">
        <f>IFERROR(__xludf.DUMMYFUNCTION("""COMPUTED_VALUE"""),"Groceries")</f>
        <v>Groceries</v>
      </c>
      <c r="C336" s="33" t="str">
        <f>IFERROR(__xludf.DUMMYFUNCTION("""COMPUTED_VALUE"""),"Healthcare")</f>
        <v>Healthcare</v>
      </c>
      <c r="D336" s="33" t="str">
        <f>IFERROR(__xludf.DUMMYFUNCTION("""COMPUTED_VALUE"""),"Household Items")</f>
        <v>Household Items</v>
      </c>
      <c r="E336" s="33" t="str">
        <f>IFERROR(__xludf.DUMMYFUNCTION("""COMPUTED_VALUE"""),"Housing")</f>
        <v>Housing</v>
      </c>
      <c r="F336" s="33" t="str">
        <f>IFERROR(__xludf.DUMMYFUNCTION("""COMPUTED_VALUE"""),"Miscellaneous")</f>
        <v>Miscellaneous</v>
      </c>
      <c r="G336" s="33" t="str">
        <f>IFERROR(__xludf.DUMMYFUNCTION("""COMPUTED_VALUE"""),"Pet")</f>
        <v>Pet</v>
      </c>
      <c r="H336" s="33" t="str">
        <f>IFERROR(__xludf.DUMMYFUNCTION("""COMPUTED_VALUE"""),"Transportation")</f>
        <v>Transportation</v>
      </c>
      <c r="I336" s="33"/>
      <c r="J336" s="33"/>
      <c r="K336" s="33"/>
    </row>
    <row r="337">
      <c r="A337" s="33" t="str">
        <f>IFERROR(__xludf.DUMMYFUNCTION("""COMPUTED_VALUE"""),"Debt")</f>
        <v>Debt</v>
      </c>
      <c r="B337" s="33" t="str">
        <f>IFERROR(__xludf.DUMMYFUNCTION("""COMPUTED_VALUE"""),"Groceries")</f>
        <v>Groceries</v>
      </c>
      <c r="C337" s="33" t="str">
        <f>IFERROR(__xludf.DUMMYFUNCTION("""COMPUTED_VALUE"""),"Healthcare")</f>
        <v>Healthcare</v>
      </c>
      <c r="D337" s="33" t="str">
        <f>IFERROR(__xludf.DUMMYFUNCTION("""COMPUTED_VALUE"""),"Household Items")</f>
        <v>Household Items</v>
      </c>
      <c r="E337" s="33" t="str">
        <f>IFERROR(__xludf.DUMMYFUNCTION("""COMPUTED_VALUE"""),"Housing")</f>
        <v>Housing</v>
      </c>
      <c r="F337" s="33" t="str">
        <f>IFERROR(__xludf.DUMMYFUNCTION("""COMPUTED_VALUE"""),"Miscellaneous")</f>
        <v>Miscellaneous</v>
      </c>
      <c r="G337" s="33" t="str">
        <f>IFERROR(__xludf.DUMMYFUNCTION("""COMPUTED_VALUE"""),"Pet")</f>
        <v>Pet</v>
      </c>
      <c r="H337" s="33" t="str">
        <f>IFERROR(__xludf.DUMMYFUNCTION("""COMPUTED_VALUE"""),"Transportation")</f>
        <v>Transportation</v>
      </c>
      <c r="I337" s="33"/>
      <c r="J337" s="33"/>
      <c r="K337" s="33"/>
    </row>
    <row r="338">
      <c r="A338" s="33" t="str">
        <f>IFERROR(__xludf.DUMMYFUNCTION("""COMPUTED_VALUE"""),"Clothing")</f>
        <v>Clothing</v>
      </c>
      <c r="B338" s="33" t="str">
        <f>IFERROR(__xludf.DUMMYFUNCTION("""COMPUTED_VALUE"""),"Gifts")</f>
        <v>Gifts</v>
      </c>
      <c r="C338" s="33" t="str">
        <f>IFERROR(__xludf.DUMMYFUNCTION("""COMPUTED_VALUE"""),"Healthcare")</f>
        <v>Healthcare</v>
      </c>
      <c r="D338" s="33" t="str">
        <f>IFERROR(__xludf.DUMMYFUNCTION("""COMPUTED_VALUE"""),"Hobbies")</f>
        <v>Hobbies</v>
      </c>
      <c r="E338" s="33" t="str">
        <f>IFERROR(__xludf.DUMMYFUNCTION("""COMPUTED_VALUE"""),"Organization")</f>
        <v>Organization</v>
      </c>
      <c r="F338" s="33"/>
      <c r="G338" s="33"/>
      <c r="H338" s="33"/>
      <c r="I338" s="33"/>
      <c r="J338" s="33"/>
      <c r="K338" s="33"/>
    </row>
    <row r="339">
      <c r="A339" s="33" t="str">
        <f>IFERROR(__xludf.DUMMYFUNCTION("""COMPUTED_VALUE"""),"Debt")</f>
        <v>Debt</v>
      </c>
      <c r="B339" s="33" t="str">
        <f>IFERROR(__xludf.DUMMYFUNCTION("""COMPUTED_VALUE"""),"Groceries")</f>
        <v>Groceries</v>
      </c>
      <c r="C339" s="33" t="str">
        <f>IFERROR(__xludf.DUMMYFUNCTION("""COMPUTED_VALUE"""),"Healthcare")</f>
        <v>Healthcare</v>
      </c>
      <c r="D339" s="33" t="str">
        <f>IFERROR(__xludf.DUMMYFUNCTION("""COMPUTED_VALUE"""),"Household Items")</f>
        <v>Household Items</v>
      </c>
      <c r="E339" s="33" t="str">
        <f>IFERROR(__xludf.DUMMYFUNCTION("""COMPUTED_VALUE"""),"Housing")</f>
        <v>Housing</v>
      </c>
      <c r="F339" s="33" t="str">
        <f>IFERROR(__xludf.DUMMYFUNCTION("""COMPUTED_VALUE"""),"Miscellaneous")</f>
        <v>Miscellaneous</v>
      </c>
      <c r="G339" s="33" t="str">
        <f>IFERROR(__xludf.DUMMYFUNCTION("""COMPUTED_VALUE"""),"Pet")</f>
        <v>Pet</v>
      </c>
      <c r="H339" s="33" t="str">
        <f>IFERROR(__xludf.DUMMYFUNCTION("""COMPUTED_VALUE"""),"Transportation")</f>
        <v>Transportation</v>
      </c>
      <c r="I339" s="33"/>
      <c r="J339" s="33"/>
      <c r="K339" s="33"/>
    </row>
    <row r="340">
      <c r="A340" s="33" t="str">
        <f>IFERROR(__xludf.DUMMYFUNCTION("""COMPUTED_VALUE"""),"Debt")</f>
        <v>Debt</v>
      </c>
      <c r="B340" s="33" t="str">
        <f>IFERROR(__xludf.DUMMYFUNCTION("""COMPUTED_VALUE"""),"Groceries")</f>
        <v>Groceries</v>
      </c>
      <c r="C340" s="33" t="str">
        <f>IFERROR(__xludf.DUMMYFUNCTION("""COMPUTED_VALUE"""),"Healthcare")</f>
        <v>Healthcare</v>
      </c>
      <c r="D340" s="33" t="str">
        <f>IFERROR(__xludf.DUMMYFUNCTION("""COMPUTED_VALUE"""),"Household Items")</f>
        <v>Household Items</v>
      </c>
      <c r="E340" s="33" t="str">
        <f>IFERROR(__xludf.DUMMYFUNCTION("""COMPUTED_VALUE"""),"Housing")</f>
        <v>Housing</v>
      </c>
      <c r="F340" s="33" t="str">
        <f>IFERROR(__xludf.DUMMYFUNCTION("""COMPUTED_VALUE"""),"Miscellaneous")</f>
        <v>Miscellaneous</v>
      </c>
      <c r="G340" s="33" t="str">
        <f>IFERROR(__xludf.DUMMYFUNCTION("""COMPUTED_VALUE"""),"Pet")</f>
        <v>Pet</v>
      </c>
      <c r="H340" s="33" t="str">
        <f>IFERROR(__xludf.DUMMYFUNCTION("""COMPUTED_VALUE"""),"Transportation")</f>
        <v>Transportation</v>
      </c>
      <c r="I340" s="33"/>
      <c r="J340" s="33"/>
      <c r="K340" s="33"/>
    </row>
    <row r="341">
      <c r="A341" s="33" t="str">
        <f>IFERROR(__xludf.DUMMYFUNCTION("""COMPUTED_VALUE"""),"Debt")</f>
        <v>Debt</v>
      </c>
      <c r="B341" s="33" t="str">
        <f>IFERROR(__xludf.DUMMYFUNCTION("""COMPUTED_VALUE"""),"Groceries")</f>
        <v>Groceries</v>
      </c>
      <c r="C341" s="33" t="str">
        <f>IFERROR(__xludf.DUMMYFUNCTION("""COMPUTED_VALUE"""),"Healthcare")</f>
        <v>Healthcare</v>
      </c>
      <c r="D341" s="33" t="str">
        <f>IFERROR(__xludf.DUMMYFUNCTION("""COMPUTED_VALUE"""),"Household Items")</f>
        <v>Household Items</v>
      </c>
      <c r="E341" s="33" t="str">
        <f>IFERROR(__xludf.DUMMYFUNCTION("""COMPUTED_VALUE"""),"Housing")</f>
        <v>Housing</v>
      </c>
      <c r="F341" s="33" t="str">
        <f>IFERROR(__xludf.DUMMYFUNCTION("""COMPUTED_VALUE"""),"Miscellaneous")</f>
        <v>Miscellaneous</v>
      </c>
      <c r="G341" s="33" t="str">
        <f>IFERROR(__xludf.DUMMYFUNCTION("""COMPUTED_VALUE"""),"Pet")</f>
        <v>Pet</v>
      </c>
      <c r="H341" s="33" t="str">
        <f>IFERROR(__xludf.DUMMYFUNCTION("""COMPUTED_VALUE"""),"Transportation")</f>
        <v>Transportation</v>
      </c>
      <c r="I341" s="33"/>
      <c r="J341" s="33"/>
      <c r="K341" s="33"/>
    </row>
    <row r="342">
      <c r="A342" s="33" t="str">
        <f>IFERROR(__xludf.DUMMYFUNCTION("""COMPUTED_VALUE"""),"Debt")</f>
        <v>Debt</v>
      </c>
      <c r="B342" s="33" t="str">
        <f>IFERROR(__xludf.DUMMYFUNCTION("""COMPUTED_VALUE"""),"Groceries")</f>
        <v>Groceries</v>
      </c>
      <c r="C342" s="33" t="str">
        <f>IFERROR(__xludf.DUMMYFUNCTION("""COMPUTED_VALUE"""),"Healthcare")</f>
        <v>Healthcare</v>
      </c>
      <c r="D342" s="33" t="str">
        <f>IFERROR(__xludf.DUMMYFUNCTION("""COMPUTED_VALUE"""),"Household Items")</f>
        <v>Household Items</v>
      </c>
      <c r="E342" s="33" t="str">
        <f>IFERROR(__xludf.DUMMYFUNCTION("""COMPUTED_VALUE"""),"Housing")</f>
        <v>Housing</v>
      </c>
      <c r="F342" s="33" t="str">
        <f>IFERROR(__xludf.DUMMYFUNCTION("""COMPUTED_VALUE"""),"Miscellaneous")</f>
        <v>Miscellaneous</v>
      </c>
      <c r="G342" s="33" t="str">
        <f>IFERROR(__xludf.DUMMYFUNCTION("""COMPUTED_VALUE"""),"Pet")</f>
        <v>Pet</v>
      </c>
      <c r="H342" s="33" t="str">
        <f>IFERROR(__xludf.DUMMYFUNCTION("""COMPUTED_VALUE"""),"Transportation")</f>
        <v>Transportation</v>
      </c>
      <c r="I342" s="33"/>
      <c r="J342" s="33"/>
      <c r="K342" s="33"/>
    </row>
    <row r="343">
      <c r="A343" s="33" t="str">
        <f>IFERROR(__xludf.DUMMYFUNCTION("""COMPUTED_VALUE"""),"Debt")</f>
        <v>Debt</v>
      </c>
      <c r="B343" s="33" t="str">
        <f>IFERROR(__xludf.DUMMYFUNCTION("""COMPUTED_VALUE"""),"Groceries")</f>
        <v>Groceries</v>
      </c>
      <c r="C343" s="33" t="str">
        <f>IFERROR(__xludf.DUMMYFUNCTION("""COMPUTED_VALUE"""),"Healthcare")</f>
        <v>Healthcare</v>
      </c>
      <c r="D343" s="33" t="str">
        <f>IFERROR(__xludf.DUMMYFUNCTION("""COMPUTED_VALUE"""),"Household Items")</f>
        <v>Household Items</v>
      </c>
      <c r="E343" s="33" t="str">
        <f>IFERROR(__xludf.DUMMYFUNCTION("""COMPUTED_VALUE"""),"Housing")</f>
        <v>Housing</v>
      </c>
      <c r="F343" s="33" t="str">
        <f>IFERROR(__xludf.DUMMYFUNCTION("""COMPUTED_VALUE"""),"Miscellaneous")</f>
        <v>Miscellaneous</v>
      </c>
      <c r="G343" s="33" t="str">
        <f>IFERROR(__xludf.DUMMYFUNCTION("""COMPUTED_VALUE"""),"Pet")</f>
        <v>Pet</v>
      </c>
      <c r="H343" s="33" t="str">
        <f>IFERROR(__xludf.DUMMYFUNCTION("""COMPUTED_VALUE"""),"Transportation")</f>
        <v>Transportation</v>
      </c>
      <c r="I343" s="33"/>
      <c r="J343" s="33"/>
      <c r="K343" s="33"/>
    </row>
    <row r="344">
      <c r="A344" s="33" t="str">
        <f>IFERROR(__xludf.DUMMYFUNCTION("""COMPUTED_VALUE"""),"Debt")</f>
        <v>Debt</v>
      </c>
      <c r="B344" s="33" t="str">
        <f>IFERROR(__xludf.DUMMYFUNCTION("""COMPUTED_VALUE"""),"Groceries")</f>
        <v>Groceries</v>
      </c>
      <c r="C344" s="33" t="str">
        <f>IFERROR(__xludf.DUMMYFUNCTION("""COMPUTED_VALUE"""),"Healthcare")</f>
        <v>Healthcare</v>
      </c>
      <c r="D344" s="33" t="str">
        <f>IFERROR(__xludf.DUMMYFUNCTION("""COMPUTED_VALUE"""),"Household Items")</f>
        <v>Household Items</v>
      </c>
      <c r="E344" s="33" t="str">
        <f>IFERROR(__xludf.DUMMYFUNCTION("""COMPUTED_VALUE"""),"Housing")</f>
        <v>Housing</v>
      </c>
      <c r="F344" s="33" t="str">
        <f>IFERROR(__xludf.DUMMYFUNCTION("""COMPUTED_VALUE"""),"Miscellaneous")</f>
        <v>Miscellaneous</v>
      </c>
      <c r="G344" s="33" t="str">
        <f>IFERROR(__xludf.DUMMYFUNCTION("""COMPUTED_VALUE"""),"Pet")</f>
        <v>Pet</v>
      </c>
      <c r="H344" s="33" t="str">
        <f>IFERROR(__xludf.DUMMYFUNCTION("""COMPUTED_VALUE"""),"Transportation")</f>
        <v>Transportation</v>
      </c>
      <c r="I344" s="33"/>
      <c r="J344" s="33"/>
      <c r="K344" s="33"/>
    </row>
    <row r="345">
      <c r="A345" s="33" t="str">
        <f>IFERROR(__xludf.DUMMYFUNCTION("""COMPUTED_VALUE"""),"Debt")</f>
        <v>Debt</v>
      </c>
      <c r="B345" s="33" t="str">
        <f>IFERROR(__xludf.DUMMYFUNCTION("""COMPUTED_VALUE"""),"Groceries")</f>
        <v>Groceries</v>
      </c>
      <c r="C345" s="33" t="str">
        <f>IFERROR(__xludf.DUMMYFUNCTION("""COMPUTED_VALUE"""),"Healthcare")</f>
        <v>Healthcare</v>
      </c>
      <c r="D345" s="33" t="str">
        <f>IFERROR(__xludf.DUMMYFUNCTION("""COMPUTED_VALUE"""),"Household Items")</f>
        <v>Household Items</v>
      </c>
      <c r="E345" s="33" t="str">
        <f>IFERROR(__xludf.DUMMYFUNCTION("""COMPUTED_VALUE"""),"Housing")</f>
        <v>Housing</v>
      </c>
      <c r="F345" s="33" t="str">
        <f>IFERROR(__xludf.DUMMYFUNCTION("""COMPUTED_VALUE"""),"Miscellaneous")</f>
        <v>Miscellaneous</v>
      </c>
      <c r="G345" s="33" t="str">
        <f>IFERROR(__xludf.DUMMYFUNCTION("""COMPUTED_VALUE"""),"Pet")</f>
        <v>Pet</v>
      </c>
      <c r="H345" s="33" t="str">
        <f>IFERROR(__xludf.DUMMYFUNCTION("""COMPUTED_VALUE"""),"Transportation")</f>
        <v>Transportation</v>
      </c>
      <c r="I345" s="33"/>
      <c r="J345" s="33"/>
      <c r="K345" s="33"/>
    </row>
    <row r="346">
      <c r="A346" s="33" t="str">
        <f>IFERROR(__xludf.DUMMYFUNCTION("""COMPUTED_VALUE"""),"Debt")</f>
        <v>Debt</v>
      </c>
      <c r="B346" s="33" t="str">
        <f>IFERROR(__xludf.DUMMYFUNCTION("""COMPUTED_VALUE"""),"Groceries")</f>
        <v>Groceries</v>
      </c>
      <c r="C346" s="33" t="str">
        <f>IFERROR(__xludf.DUMMYFUNCTION("""COMPUTED_VALUE"""),"Healthcare")</f>
        <v>Healthcare</v>
      </c>
      <c r="D346" s="33" t="str">
        <f>IFERROR(__xludf.DUMMYFUNCTION("""COMPUTED_VALUE"""),"Household Items")</f>
        <v>Household Items</v>
      </c>
      <c r="E346" s="33" t="str">
        <f>IFERROR(__xludf.DUMMYFUNCTION("""COMPUTED_VALUE"""),"Housing")</f>
        <v>Housing</v>
      </c>
      <c r="F346" s="33" t="str">
        <f>IFERROR(__xludf.DUMMYFUNCTION("""COMPUTED_VALUE"""),"Miscellaneous")</f>
        <v>Miscellaneous</v>
      </c>
      <c r="G346" s="33" t="str">
        <f>IFERROR(__xludf.DUMMYFUNCTION("""COMPUTED_VALUE"""),"Pet")</f>
        <v>Pet</v>
      </c>
      <c r="H346" s="33" t="str">
        <f>IFERROR(__xludf.DUMMYFUNCTION("""COMPUTED_VALUE"""),"Transportation")</f>
        <v>Transportation</v>
      </c>
      <c r="I346" s="33"/>
      <c r="J346" s="33"/>
      <c r="K346" s="33"/>
    </row>
    <row r="347">
      <c r="A347" s="33" t="str">
        <f>IFERROR(__xludf.DUMMYFUNCTION("""COMPUTED_VALUE"""),"Debt")</f>
        <v>Debt</v>
      </c>
      <c r="B347" s="33" t="str">
        <f>IFERROR(__xludf.DUMMYFUNCTION("""COMPUTED_VALUE"""),"Groceries")</f>
        <v>Groceries</v>
      </c>
      <c r="C347" s="33" t="str">
        <f>IFERROR(__xludf.DUMMYFUNCTION("""COMPUTED_VALUE"""),"Healthcare")</f>
        <v>Healthcare</v>
      </c>
      <c r="D347" s="33" t="str">
        <f>IFERROR(__xludf.DUMMYFUNCTION("""COMPUTED_VALUE"""),"Household Items")</f>
        <v>Household Items</v>
      </c>
      <c r="E347" s="33" t="str">
        <f>IFERROR(__xludf.DUMMYFUNCTION("""COMPUTED_VALUE"""),"Housing")</f>
        <v>Housing</v>
      </c>
      <c r="F347" s="33" t="str">
        <f>IFERROR(__xludf.DUMMYFUNCTION("""COMPUTED_VALUE"""),"Miscellaneous")</f>
        <v>Miscellaneous</v>
      </c>
      <c r="G347" s="33" t="str">
        <f>IFERROR(__xludf.DUMMYFUNCTION("""COMPUTED_VALUE"""),"Pet")</f>
        <v>Pet</v>
      </c>
      <c r="H347" s="33" t="str">
        <f>IFERROR(__xludf.DUMMYFUNCTION("""COMPUTED_VALUE"""),"Transportation")</f>
        <v>Transportation</v>
      </c>
      <c r="I347" s="33"/>
      <c r="J347" s="33"/>
      <c r="K347" s="33"/>
    </row>
    <row r="348">
      <c r="A348" s="33" t="str">
        <f>IFERROR(__xludf.DUMMYFUNCTION("""COMPUTED_VALUE"""),"Debt")</f>
        <v>Debt</v>
      </c>
      <c r="B348" s="33" t="str">
        <f>IFERROR(__xludf.DUMMYFUNCTION("""COMPUTED_VALUE"""),"Groceries")</f>
        <v>Groceries</v>
      </c>
      <c r="C348" s="33" t="str">
        <f>IFERROR(__xludf.DUMMYFUNCTION("""COMPUTED_VALUE"""),"Healthcare")</f>
        <v>Healthcare</v>
      </c>
      <c r="D348" s="33" t="str">
        <f>IFERROR(__xludf.DUMMYFUNCTION("""COMPUTED_VALUE"""),"Household Items")</f>
        <v>Household Items</v>
      </c>
      <c r="E348" s="33" t="str">
        <f>IFERROR(__xludf.DUMMYFUNCTION("""COMPUTED_VALUE"""),"Housing")</f>
        <v>Housing</v>
      </c>
      <c r="F348" s="33" t="str">
        <f>IFERROR(__xludf.DUMMYFUNCTION("""COMPUTED_VALUE"""),"Miscellaneous")</f>
        <v>Miscellaneous</v>
      </c>
      <c r="G348" s="33" t="str">
        <f>IFERROR(__xludf.DUMMYFUNCTION("""COMPUTED_VALUE"""),"Pet")</f>
        <v>Pet</v>
      </c>
      <c r="H348" s="33" t="str">
        <f>IFERROR(__xludf.DUMMYFUNCTION("""COMPUTED_VALUE"""),"Transportation")</f>
        <v>Transportation</v>
      </c>
      <c r="I348" s="33"/>
      <c r="J348" s="33"/>
      <c r="K348" s="33"/>
    </row>
    <row r="349">
      <c r="A349" s="33" t="str">
        <f>IFERROR(__xludf.DUMMYFUNCTION("""COMPUTED_VALUE"""),"Debt")</f>
        <v>Debt</v>
      </c>
      <c r="B349" s="33" t="str">
        <f>IFERROR(__xludf.DUMMYFUNCTION("""COMPUTED_VALUE"""),"Groceries")</f>
        <v>Groceries</v>
      </c>
      <c r="C349" s="33" t="str">
        <f>IFERROR(__xludf.DUMMYFUNCTION("""COMPUTED_VALUE"""),"Healthcare")</f>
        <v>Healthcare</v>
      </c>
      <c r="D349" s="33" t="str">
        <f>IFERROR(__xludf.DUMMYFUNCTION("""COMPUTED_VALUE"""),"Household Items")</f>
        <v>Household Items</v>
      </c>
      <c r="E349" s="33" t="str">
        <f>IFERROR(__xludf.DUMMYFUNCTION("""COMPUTED_VALUE"""),"Housing")</f>
        <v>Housing</v>
      </c>
      <c r="F349" s="33" t="str">
        <f>IFERROR(__xludf.DUMMYFUNCTION("""COMPUTED_VALUE"""),"Miscellaneous")</f>
        <v>Miscellaneous</v>
      </c>
      <c r="G349" s="33" t="str">
        <f>IFERROR(__xludf.DUMMYFUNCTION("""COMPUTED_VALUE"""),"Pet")</f>
        <v>Pet</v>
      </c>
      <c r="H349" s="33" t="str">
        <f>IFERROR(__xludf.DUMMYFUNCTION("""COMPUTED_VALUE"""),"Transportation")</f>
        <v>Transportation</v>
      </c>
      <c r="I349" s="33"/>
      <c r="J349" s="33"/>
      <c r="K349" s="33"/>
    </row>
    <row r="350">
      <c r="A350" s="33" t="str">
        <f>IFERROR(__xludf.DUMMYFUNCTION("""COMPUTED_VALUE"""),"Debt")</f>
        <v>Debt</v>
      </c>
      <c r="B350" s="33" t="str">
        <f>IFERROR(__xludf.DUMMYFUNCTION("""COMPUTED_VALUE"""),"Groceries")</f>
        <v>Groceries</v>
      </c>
      <c r="C350" s="33" t="str">
        <f>IFERROR(__xludf.DUMMYFUNCTION("""COMPUTED_VALUE"""),"Healthcare")</f>
        <v>Healthcare</v>
      </c>
      <c r="D350" s="33" t="str">
        <f>IFERROR(__xludf.DUMMYFUNCTION("""COMPUTED_VALUE"""),"Household Items")</f>
        <v>Household Items</v>
      </c>
      <c r="E350" s="33" t="str">
        <f>IFERROR(__xludf.DUMMYFUNCTION("""COMPUTED_VALUE"""),"Housing")</f>
        <v>Housing</v>
      </c>
      <c r="F350" s="33" t="str">
        <f>IFERROR(__xludf.DUMMYFUNCTION("""COMPUTED_VALUE"""),"Miscellaneous")</f>
        <v>Miscellaneous</v>
      </c>
      <c r="G350" s="33" t="str">
        <f>IFERROR(__xludf.DUMMYFUNCTION("""COMPUTED_VALUE"""),"Pet")</f>
        <v>Pet</v>
      </c>
      <c r="H350" s="33" t="str">
        <f>IFERROR(__xludf.DUMMYFUNCTION("""COMPUTED_VALUE"""),"Transportation")</f>
        <v>Transportation</v>
      </c>
      <c r="I350" s="33"/>
      <c r="J350" s="33"/>
      <c r="K350" s="33"/>
    </row>
    <row r="351">
      <c r="A351" s="33" t="str">
        <f>IFERROR(__xludf.DUMMYFUNCTION("""COMPUTED_VALUE"""),"Debt")</f>
        <v>Debt</v>
      </c>
      <c r="B351" s="33" t="str">
        <f>IFERROR(__xludf.DUMMYFUNCTION("""COMPUTED_VALUE"""),"Groceries")</f>
        <v>Groceries</v>
      </c>
      <c r="C351" s="33" t="str">
        <f>IFERROR(__xludf.DUMMYFUNCTION("""COMPUTED_VALUE"""),"Healthcare")</f>
        <v>Healthcare</v>
      </c>
      <c r="D351" s="33" t="str">
        <f>IFERROR(__xludf.DUMMYFUNCTION("""COMPUTED_VALUE"""),"Household Items")</f>
        <v>Household Items</v>
      </c>
      <c r="E351" s="33" t="str">
        <f>IFERROR(__xludf.DUMMYFUNCTION("""COMPUTED_VALUE"""),"Housing")</f>
        <v>Housing</v>
      </c>
      <c r="F351" s="33" t="str">
        <f>IFERROR(__xludf.DUMMYFUNCTION("""COMPUTED_VALUE"""),"Miscellaneous")</f>
        <v>Miscellaneous</v>
      </c>
      <c r="G351" s="33" t="str">
        <f>IFERROR(__xludf.DUMMYFUNCTION("""COMPUTED_VALUE"""),"Pet")</f>
        <v>Pet</v>
      </c>
      <c r="H351" s="33" t="str">
        <f>IFERROR(__xludf.DUMMYFUNCTION("""COMPUTED_VALUE"""),"Transportation")</f>
        <v>Transportation</v>
      </c>
      <c r="I351" s="33"/>
      <c r="J351" s="33"/>
      <c r="K351" s="33"/>
    </row>
    <row r="352">
      <c r="A352" s="33" t="str">
        <f>IFERROR(__xludf.DUMMYFUNCTION("""COMPUTED_VALUE"""),"Deposit")</f>
        <v>Deposit</v>
      </c>
      <c r="B352" s="33" t="str">
        <f>IFERROR(__xludf.DUMMYFUNCTION("""COMPUTED_VALUE"""),"Withdrawal")</f>
        <v>Withdrawal</v>
      </c>
      <c r="C352" s="33"/>
      <c r="D352" s="33"/>
      <c r="E352" s="33"/>
      <c r="F352" s="33"/>
      <c r="G352" s="33"/>
      <c r="H352" s="33"/>
      <c r="I352" s="33"/>
      <c r="J352" s="33"/>
      <c r="K352" s="33"/>
    </row>
    <row r="353">
      <c r="A353" s="33" t="str">
        <f>IFERROR(__xludf.DUMMYFUNCTION("""COMPUTED_VALUE"""),"Deposit")</f>
        <v>Deposit</v>
      </c>
      <c r="B353" s="33" t="str">
        <f>IFERROR(__xludf.DUMMYFUNCTION("""COMPUTED_VALUE"""),"Withdrawal")</f>
        <v>Withdrawal</v>
      </c>
      <c r="C353" s="33"/>
      <c r="D353" s="33"/>
      <c r="E353" s="33"/>
      <c r="F353" s="33"/>
      <c r="G353" s="33"/>
      <c r="H353" s="33"/>
      <c r="I353" s="33"/>
      <c r="J353" s="33"/>
      <c r="K353" s="33"/>
    </row>
    <row r="354">
      <c r="A354" s="33" t="str">
        <f>IFERROR(__xludf.DUMMYFUNCTION("""COMPUTED_VALUE"""),"Debt")</f>
        <v>Debt</v>
      </c>
      <c r="B354" s="33" t="str">
        <f>IFERROR(__xludf.DUMMYFUNCTION("""COMPUTED_VALUE"""),"Groceries")</f>
        <v>Groceries</v>
      </c>
      <c r="C354" s="33" t="str">
        <f>IFERROR(__xludf.DUMMYFUNCTION("""COMPUTED_VALUE"""),"Healthcare")</f>
        <v>Healthcare</v>
      </c>
      <c r="D354" s="33" t="str">
        <f>IFERROR(__xludf.DUMMYFUNCTION("""COMPUTED_VALUE"""),"Household Items")</f>
        <v>Household Items</v>
      </c>
      <c r="E354" s="33" t="str">
        <f>IFERROR(__xludf.DUMMYFUNCTION("""COMPUTED_VALUE"""),"Housing")</f>
        <v>Housing</v>
      </c>
      <c r="F354" s="33" t="str">
        <f>IFERROR(__xludf.DUMMYFUNCTION("""COMPUTED_VALUE"""),"Miscellaneous")</f>
        <v>Miscellaneous</v>
      </c>
      <c r="G354" s="33" t="str">
        <f>IFERROR(__xludf.DUMMYFUNCTION("""COMPUTED_VALUE"""),"Pet")</f>
        <v>Pet</v>
      </c>
      <c r="H354" s="33" t="str">
        <f>IFERROR(__xludf.DUMMYFUNCTION("""COMPUTED_VALUE"""),"Transportation")</f>
        <v>Transportation</v>
      </c>
      <c r="I354" s="33"/>
      <c r="J354" s="33"/>
      <c r="K354" s="33"/>
    </row>
    <row r="355">
      <c r="A355" s="33" t="str">
        <f>IFERROR(__xludf.DUMMYFUNCTION("""COMPUTED_VALUE"""),"Debt")</f>
        <v>Debt</v>
      </c>
      <c r="B355" s="33" t="str">
        <f>IFERROR(__xludf.DUMMYFUNCTION("""COMPUTED_VALUE"""),"Groceries")</f>
        <v>Groceries</v>
      </c>
      <c r="C355" s="33" t="str">
        <f>IFERROR(__xludf.DUMMYFUNCTION("""COMPUTED_VALUE"""),"Healthcare")</f>
        <v>Healthcare</v>
      </c>
      <c r="D355" s="33" t="str">
        <f>IFERROR(__xludf.DUMMYFUNCTION("""COMPUTED_VALUE"""),"Household Items")</f>
        <v>Household Items</v>
      </c>
      <c r="E355" s="33" t="str">
        <f>IFERROR(__xludf.DUMMYFUNCTION("""COMPUTED_VALUE"""),"Housing")</f>
        <v>Housing</v>
      </c>
      <c r="F355" s="33" t="str">
        <f>IFERROR(__xludf.DUMMYFUNCTION("""COMPUTED_VALUE"""),"Miscellaneous")</f>
        <v>Miscellaneous</v>
      </c>
      <c r="G355" s="33" t="str">
        <f>IFERROR(__xludf.DUMMYFUNCTION("""COMPUTED_VALUE"""),"Pet")</f>
        <v>Pet</v>
      </c>
      <c r="H355" s="33" t="str">
        <f>IFERROR(__xludf.DUMMYFUNCTION("""COMPUTED_VALUE"""),"Transportation")</f>
        <v>Transportation</v>
      </c>
      <c r="I355" s="33"/>
      <c r="J355" s="33"/>
      <c r="K355" s="33"/>
    </row>
    <row r="356">
      <c r="A356" s="33" t="str">
        <f>IFERROR(__xludf.DUMMYFUNCTION("""COMPUTED_VALUE"""),"Debt")</f>
        <v>Debt</v>
      </c>
      <c r="B356" s="33" t="str">
        <f>IFERROR(__xludf.DUMMYFUNCTION("""COMPUTED_VALUE"""),"Groceries")</f>
        <v>Groceries</v>
      </c>
      <c r="C356" s="33" t="str">
        <f>IFERROR(__xludf.DUMMYFUNCTION("""COMPUTED_VALUE"""),"Healthcare")</f>
        <v>Healthcare</v>
      </c>
      <c r="D356" s="33" t="str">
        <f>IFERROR(__xludf.DUMMYFUNCTION("""COMPUTED_VALUE"""),"Household Items")</f>
        <v>Household Items</v>
      </c>
      <c r="E356" s="33" t="str">
        <f>IFERROR(__xludf.DUMMYFUNCTION("""COMPUTED_VALUE"""),"Housing")</f>
        <v>Housing</v>
      </c>
      <c r="F356" s="33" t="str">
        <f>IFERROR(__xludf.DUMMYFUNCTION("""COMPUTED_VALUE"""),"Miscellaneous")</f>
        <v>Miscellaneous</v>
      </c>
      <c r="G356" s="33" t="str">
        <f>IFERROR(__xludf.DUMMYFUNCTION("""COMPUTED_VALUE"""),"Pet")</f>
        <v>Pet</v>
      </c>
      <c r="H356" s="33" t="str">
        <f>IFERROR(__xludf.DUMMYFUNCTION("""COMPUTED_VALUE"""),"Transportation")</f>
        <v>Transportation</v>
      </c>
      <c r="I356" s="33"/>
      <c r="J356" s="33"/>
      <c r="K356" s="33"/>
    </row>
    <row r="357">
      <c r="A357" s="33" t="str">
        <f>IFERROR(__xludf.DUMMYFUNCTION("""COMPUTED_VALUE"""),"Debt")</f>
        <v>Debt</v>
      </c>
      <c r="B357" s="33" t="str">
        <f>IFERROR(__xludf.DUMMYFUNCTION("""COMPUTED_VALUE"""),"Groceries")</f>
        <v>Groceries</v>
      </c>
      <c r="C357" s="33" t="str">
        <f>IFERROR(__xludf.DUMMYFUNCTION("""COMPUTED_VALUE"""),"Healthcare")</f>
        <v>Healthcare</v>
      </c>
      <c r="D357" s="33" t="str">
        <f>IFERROR(__xludf.DUMMYFUNCTION("""COMPUTED_VALUE"""),"Household Items")</f>
        <v>Household Items</v>
      </c>
      <c r="E357" s="33" t="str">
        <f>IFERROR(__xludf.DUMMYFUNCTION("""COMPUTED_VALUE"""),"Housing")</f>
        <v>Housing</v>
      </c>
      <c r="F357" s="33" t="str">
        <f>IFERROR(__xludf.DUMMYFUNCTION("""COMPUTED_VALUE"""),"Miscellaneous")</f>
        <v>Miscellaneous</v>
      </c>
      <c r="G357" s="33" t="str">
        <f>IFERROR(__xludf.DUMMYFUNCTION("""COMPUTED_VALUE"""),"Pet")</f>
        <v>Pet</v>
      </c>
      <c r="H357" s="33" t="str">
        <f>IFERROR(__xludf.DUMMYFUNCTION("""COMPUTED_VALUE"""),"Transportation")</f>
        <v>Transportation</v>
      </c>
      <c r="I357" s="33"/>
      <c r="J357" s="33"/>
      <c r="K357" s="33"/>
    </row>
    <row r="358">
      <c r="A358" s="33" t="str">
        <f>IFERROR(__xludf.DUMMYFUNCTION("""COMPUTED_VALUE"""),"Debt")</f>
        <v>Debt</v>
      </c>
      <c r="B358" s="33" t="str">
        <f>IFERROR(__xludf.DUMMYFUNCTION("""COMPUTED_VALUE"""),"Groceries")</f>
        <v>Groceries</v>
      </c>
      <c r="C358" s="33" t="str">
        <f>IFERROR(__xludf.DUMMYFUNCTION("""COMPUTED_VALUE"""),"Healthcare")</f>
        <v>Healthcare</v>
      </c>
      <c r="D358" s="33" t="str">
        <f>IFERROR(__xludf.DUMMYFUNCTION("""COMPUTED_VALUE"""),"Household Items")</f>
        <v>Household Items</v>
      </c>
      <c r="E358" s="33" t="str">
        <f>IFERROR(__xludf.DUMMYFUNCTION("""COMPUTED_VALUE"""),"Housing")</f>
        <v>Housing</v>
      </c>
      <c r="F358" s="33" t="str">
        <f>IFERROR(__xludf.DUMMYFUNCTION("""COMPUTED_VALUE"""),"Miscellaneous")</f>
        <v>Miscellaneous</v>
      </c>
      <c r="G358" s="33" t="str">
        <f>IFERROR(__xludf.DUMMYFUNCTION("""COMPUTED_VALUE"""),"Pet")</f>
        <v>Pet</v>
      </c>
      <c r="H358" s="33" t="str">
        <f>IFERROR(__xludf.DUMMYFUNCTION("""COMPUTED_VALUE"""),"Transportation")</f>
        <v>Transportation</v>
      </c>
      <c r="I358" s="33"/>
      <c r="J358" s="33"/>
      <c r="K358" s="33"/>
    </row>
    <row r="359">
      <c r="A359" s="33" t="str">
        <f>IFERROR(__xludf.DUMMYFUNCTION("""COMPUTED_VALUE"""),"Debt")</f>
        <v>Debt</v>
      </c>
      <c r="B359" s="33" t="str">
        <f>IFERROR(__xludf.DUMMYFUNCTION("""COMPUTED_VALUE"""),"Groceries")</f>
        <v>Groceries</v>
      </c>
      <c r="C359" s="33" t="str">
        <f>IFERROR(__xludf.DUMMYFUNCTION("""COMPUTED_VALUE"""),"Healthcare")</f>
        <v>Healthcare</v>
      </c>
      <c r="D359" s="33" t="str">
        <f>IFERROR(__xludf.DUMMYFUNCTION("""COMPUTED_VALUE"""),"Household Items")</f>
        <v>Household Items</v>
      </c>
      <c r="E359" s="33" t="str">
        <f>IFERROR(__xludf.DUMMYFUNCTION("""COMPUTED_VALUE"""),"Housing")</f>
        <v>Housing</v>
      </c>
      <c r="F359" s="33" t="str">
        <f>IFERROR(__xludf.DUMMYFUNCTION("""COMPUTED_VALUE"""),"Miscellaneous")</f>
        <v>Miscellaneous</v>
      </c>
      <c r="G359" s="33" t="str">
        <f>IFERROR(__xludf.DUMMYFUNCTION("""COMPUTED_VALUE"""),"Pet")</f>
        <v>Pet</v>
      </c>
      <c r="H359" s="33" t="str">
        <f>IFERROR(__xludf.DUMMYFUNCTION("""COMPUTED_VALUE"""),"Transportation")</f>
        <v>Transportation</v>
      </c>
      <c r="I359" s="33"/>
      <c r="J359" s="33"/>
      <c r="K359" s="33"/>
    </row>
    <row r="360">
      <c r="A360" s="33" t="str">
        <f>IFERROR(__xludf.DUMMYFUNCTION("""COMPUTED_VALUE"""),"Debt")</f>
        <v>Debt</v>
      </c>
      <c r="B360" s="33" t="str">
        <f>IFERROR(__xludf.DUMMYFUNCTION("""COMPUTED_VALUE"""),"Groceries")</f>
        <v>Groceries</v>
      </c>
      <c r="C360" s="33" t="str">
        <f>IFERROR(__xludf.DUMMYFUNCTION("""COMPUTED_VALUE"""),"Healthcare")</f>
        <v>Healthcare</v>
      </c>
      <c r="D360" s="33" t="str">
        <f>IFERROR(__xludf.DUMMYFUNCTION("""COMPUTED_VALUE"""),"Household Items")</f>
        <v>Household Items</v>
      </c>
      <c r="E360" s="33" t="str">
        <f>IFERROR(__xludf.DUMMYFUNCTION("""COMPUTED_VALUE"""),"Housing")</f>
        <v>Housing</v>
      </c>
      <c r="F360" s="33" t="str">
        <f>IFERROR(__xludf.DUMMYFUNCTION("""COMPUTED_VALUE"""),"Miscellaneous")</f>
        <v>Miscellaneous</v>
      </c>
      <c r="G360" s="33" t="str">
        <f>IFERROR(__xludf.DUMMYFUNCTION("""COMPUTED_VALUE"""),"Pet")</f>
        <v>Pet</v>
      </c>
      <c r="H360" s="33" t="str">
        <f>IFERROR(__xludf.DUMMYFUNCTION("""COMPUTED_VALUE"""),"Transportation")</f>
        <v>Transportation</v>
      </c>
      <c r="I360" s="33"/>
      <c r="J360" s="33"/>
      <c r="K360" s="33"/>
    </row>
    <row r="361">
      <c r="A361" s="33" t="str">
        <f>IFERROR(__xludf.DUMMYFUNCTION("""COMPUTED_VALUE"""),"Dining Out")</f>
        <v>Dining Out</v>
      </c>
      <c r="B361" s="33" t="str">
        <f>IFERROR(__xludf.DUMMYFUNCTION("""COMPUTED_VALUE"""),"Entertainment")</f>
        <v>Entertainment</v>
      </c>
      <c r="C361" s="33" t="str">
        <f>IFERROR(__xludf.DUMMYFUNCTION("""COMPUTED_VALUE"""),"Gaming")</f>
        <v>Gaming</v>
      </c>
      <c r="D361" s="33" t="str">
        <f>IFERROR(__xludf.DUMMYFUNCTION("""COMPUTED_VALUE"""),"Gifts")</f>
        <v>Gifts</v>
      </c>
      <c r="E361" s="33" t="str">
        <f>IFERROR(__xludf.DUMMYFUNCTION("""COMPUTED_VALUE"""),"Groceries")</f>
        <v>Groceries</v>
      </c>
      <c r="F361" s="33" t="str">
        <f>IFERROR(__xludf.DUMMYFUNCTION("""COMPUTED_VALUE"""),"Healthcare")</f>
        <v>Healthcare</v>
      </c>
      <c r="G361" s="33" t="str">
        <f>IFERROR(__xludf.DUMMYFUNCTION("""COMPUTED_VALUE"""),"Hobbies")</f>
        <v>Hobbies</v>
      </c>
      <c r="H361" s="33" t="str">
        <f>IFERROR(__xludf.DUMMYFUNCTION("""COMPUTED_VALUE"""),"Household Items")</f>
        <v>Household Items</v>
      </c>
      <c r="I361" s="33" t="str">
        <f>IFERROR(__xludf.DUMMYFUNCTION("""COMPUTED_VALUE"""),"Subscriptions")</f>
        <v>Subscriptions</v>
      </c>
      <c r="J361" s="33" t="str">
        <f>IFERROR(__xludf.DUMMYFUNCTION("""COMPUTED_VALUE"""),"Transportation")</f>
        <v>Transportation</v>
      </c>
      <c r="K361" s="33" t="str">
        <f>IFERROR(__xludf.DUMMYFUNCTION("""COMPUTED_VALUE"""),"Travel")</f>
        <v>Travel</v>
      </c>
    </row>
    <row r="362">
      <c r="A362" s="33" t="str">
        <f>IFERROR(__xludf.DUMMYFUNCTION("""COMPUTED_VALUE"""),"Dining Out")</f>
        <v>Dining Out</v>
      </c>
      <c r="B362" s="33" t="str">
        <f>IFERROR(__xludf.DUMMYFUNCTION("""COMPUTED_VALUE"""),"Entertainment")</f>
        <v>Entertainment</v>
      </c>
      <c r="C362" s="33" t="str">
        <f>IFERROR(__xludf.DUMMYFUNCTION("""COMPUTED_VALUE"""),"Gaming")</f>
        <v>Gaming</v>
      </c>
      <c r="D362" s="33" t="str">
        <f>IFERROR(__xludf.DUMMYFUNCTION("""COMPUTED_VALUE"""),"Gifts")</f>
        <v>Gifts</v>
      </c>
      <c r="E362" s="33" t="str">
        <f>IFERROR(__xludf.DUMMYFUNCTION("""COMPUTED_VALUE"""),"Groceries")</f>
        <v>Groceries</v>
      </c>
      <c r="F362" s="33" t="str">
        <f>IFERROR(__xludf.DUMMYFUNCTION("""COMPUTED_VALUE"""),"Healthcare")</f>
        <v>Healthcare</v>
      </c>
      <c r="G362" s="33" t="str">
        <f>IFERROR(__xludf.DUMMYFUNCTION("""COMPUTED_VALUE"""),"Hobbies")</f>
        <v>Hobbies</v>
      </c>
      <c r="H362" s="33" t="str">
        <f>IFERROR(__xludf.DUMMYFUNCTION("""COMPUTED_VALUE"""),"Household Items")</f>
        <v>Household Items</v>
      </c>
      <c r="I362" s="33" t="str">
        <f>IFERROR(__xludf.DUMMYFUNCTION("""COMPUTED_VALUE"""),"Subscriptions")</f>
        <v>Subscriptions</v>
      </c>
      <c r="J362" s="33" t="str">
        <f>IFERROR(__xludf.DUMMYFUNCTION("""COMPUTED_VALUE"""),"Transportation")</f>
        <v>Transportation</v>
      </c>
      <c r="K362" s="33" t="str">
        <f>IFERROR(__xludf.DUMMYFUNCTION("""COMPUTED_VALUE"""),"Travel")</f>
        <v>Travel</v>
      </c>
    </row>
    <row r="363">
      <c r="A363" s="33" t="str">
        <f>IFERROR(__xludf.DUMMYFUNCTION("""COMPUTED_VALUE"""),"Dining Out")</f>
        <v>Dining Out</v>
      </c>
      <c r="B363" s="33" t="str">
        <f>IFERROR(__xludf.DUMMYFUNCTION("""COMPUTED_VALUE"""),"Entertainment")</f>
        <v>Entertainment</v>
      </c>
      <c r="C363" s="33" t="str">
        <f>IFERROR(__xludf.DUMMYFUNCTION("""COMPUTED_VALUE"""),"Gaming")</f>
        <v>Gaming</v>
      </c>
      <c r="D363" s="33" t="str">
        <f>IFERROR(__xludf.DUMMYFUNCTION("""COMPUTED_VALUE"""),"Gifts")</f>
        <v>Gifts</v>
      </c>
      <c r="E363" s="33" t="str">
        <f>IFERROR(__xludf.DUMMYFUNCTION("""COMPUTED_VALUE"""),"Groceries")</f>
        <v>Groceries</v>
      </c>
      <c r="F363" s="33" t="str">
        <f>IFERROR(__xludf.DUMMYFUNCTION("""COMPUTED_VALUE"""),"Healthcare")</f>
        <v>Healthcare</v>
      </c>
      <c r="G363" s="33" t="str">
        <f>IFERROR(__xludf.DUMMYFUNCTION("""COMPUTED_VALUE"""),"Hobbies")</f>
        <v>Hobbies</v>
      </c>
      <c r="H363" s="33" t="str">
        <f>IFERROR(__xludf.DUMMYFUNCTION("""COMPUTED_VALUE"""),"Household Items")</f>
        <v>Household Items</v>
      </c>
      <c r="I363" s="33" t="str">
        <f>IFERROR(__xludf.DUMMYFUNCTION("""COMPUTED_VALUE"""),"Subscriptions")</f>
        <v>Subscriptions</v>
      </c>
      <c r="J363" s="33" t="str">
        <f>IFERROR(__xludf.DUMMYFUNCTION("""COMPUTED_VALUE"""),"Transportation")</f>
        <v>Transportation</v>
      </c>
      <c r="K363" s="33" t="str">
        <f>IFERROR(__xludf.DUMMYFUNCTION("""COMPUTED_VALUE"""),"Travel")</f>
        <v>Travel</v>
      </c>
    </row>
    <row r="364">
      <c r="A364" s="33" t="str">
        <f>IFERROR(__xludf.DUMMYFUNCTION("""COMPUTED_VALUE"""),"Debt")</f>
        <v>Debt</v>
      </c>
      <c r="B364" s="33" t="str">
        <f>IFERROR(__xludf.DUMMYFUNCTION("""COMPUTED_VALUE"""),"Groceries")</f>
        <v>Groceries</v>
      </c>
      <c r="C364" s="33" t="str">
        <f>IFERROR(__xludf.DUMMYFUNCTION("""COMPUTED_VALUE"""),"Healthcare")</f>
        <v>Healthcare</v>
      </c>
      <c r="D364" s="33" t="str">
        <f>IFERROR(__xludf.DUMMYFUNCTION("""COMPUTED_VALUE"""),"Household Items")</f>
        <v>Household Items</v>
      </c>
      <c r="E364" s="33" t="str">
        <f>IFERROR(__xludf.DUMMYFUNCTION("""COMPUTED_VALUE"""),"Housing")</f>
        <v>Housing</v>
      </c>
      <c r="F364" s="33" t="str">
        <f>IFERROR(__xludf.DUMMYFUNCTION("""COMPUTED_VALUE"""),"Miscellaneous")</f>
        <v>Miscellaneous</v>
      </c>
      <c r="G364" s="33" t="str">
        <f>IFERROR(__xludf.DUMMYFUNCTION("""COMPUTED_VALUE"""),"Pet")</f>
        <v>Pet</v>
      </c>
      <c r="H364" s="33" t="str">
        <f>IFERROR(__xludf.DUMMYFUNCTION("""COMPUTED_VALUE"""),"Transportation")</f>
        <v>Transportation</v>
      </c>
      <c r="I364" s="33"/>
      <c r="J364" s="33"/>
      <c r="K364" s="33"/>
    </row>
    <row r="365">
      <c r="A365" s="33" t="str">
        <f>IFERROR(__xludf.DUMMYFUNCTION("""COMPUTED_VALUE"""),"Debt")</f>
        <v>Debt</v>
      </c>
      <c r="B365" s="33" t="str">
        <f>IFERROR(__xludf.DUMMYFUNCTION("""COMPUTED_VALUE"""),"Groceries")</f>
        <v>Groceries</v>
      </c>
      <c r="C365" s="33" t="str">
        <f>IFERROR(__xludf.DUMMYFUNCTION("""COMPUTED_VALUE"""),"Healthcare")</f>
        <v>Healthcare</v>
      </c>
      <c r="D365" s="33" t="str">
        <f>IFERROR(__xludf.DUMMYFUNCTION("""COMPUTED_VALUE"""),"Household Items")</f>
        <v>Household Items</v>
      </c>
      <c r="E365" s="33" t="str">
        <f>IFERROR(__xludf.DUMMYFUNCTION("""COMPUTED_VALUE"""),"Housing")</f>
        <v>Housing</v>
      </c>
      <c r="F365" s="33" t="str">
        <f>IFERROR(__xludf.DUMMYFUNCTION("""COMPUTED_VALUE"""),"Miscellaneous")</f>
        <v>Miscellaneous</v>
      </c>
      <c r="G365" s="33" t="str">
        <f>IFERROR(__xludf.DUMMYFUNCTION("""COMPUTED_VALUE"""),"Pet")</f>
        <v>Pet</v>
      </c>
      <c r="H365" s="33" t="str">
        <f>IFERROR(__xludf.DUMMYFUNCTION("""COMPUTED_VALUE"""),"Transportation")</f>
        <v>Transportation</v>
      </c>
      <c r="I365" s="33"/>
      <c r="J365" s="33"/>
      <c r="K365" s="33"/>
    </row>
    <row r="366">
      <c r="A366" s="33" t="str">
        <f>IFERROR(__xludf.DUMMYFUNCTION("""COMPUTED_VALUE"""),"Debt")</f>
        <v>Debt</v>
      </c>
      <c r="B366" s="33" t="str">
        <f>IFERROR(__xludf.DUMMYFUNCTION("""COMPUTED_VALUE"""),"Groceries")</f>
        <v>Groceries</v>
      </c>
      <c r="C366" s="33" t="str">
        <f>IFERROR(__xludf.DUMMYFUNCTION("""COMPUTED_VALUE"""),"Healthcare")</f>
        <v>Healthcare</v>
      </c>
      <c r="D366" s="33" t="str">
        <f>IFERROR(__xludf.DUMMYFUNCTION("""COMPUTED_VALUE"""),"Household Items")</f>
        <v>Household Items</v>
      </c>
      <c r="E366" s="33" t="str">
        <f>IFERROR(__xludf.DUMMYFUNCTION("""COMPUTED_VALUE"""),"Housing")</f>
        <v>Housing</v>
      </c>
      <c r="F366" s="33" t="str">
        <f>IFERROR(__xludf.DUMMYFUNCTION("""COMPUTED_VALUE"""),"Miscellaneous")</f>
        <v>Miscellaneous</v>
      </c>
      <c r="G366" s="33" t="str">
        <f>IFERROR(__xludf.DUMMYFUNCTION("""COMPUTED_VALUE"""),"Pet")</f>
        <v>Pet</v>
      </c>
      <c r="H366" s="33" t="str">
        <f>IFERROR(__xludf.DUMMYFUNCTION("""COMPUTED_VALUE"""),"Transportation")</f>
        <v>Transportation</v>
      </c>
      <c r="I366" s="33"/>
      <c r="J366" s="33"/>
      <c r="K366" s="33"/>
    </row>
    <row r="367">
      <c r="A367" s="33" t="str">
        <f>IFERROR(__xludf.DUMMYFUNCTION("""COMPUTED_VALUE"""),"Debt")</f>
        <v>Debt</v>
      </c>
      <c r="B367" s="33" t="str">
        <f>IFERROR(__xludf.DUMMYFUNCTION("""COMPUTED_VALUE"""),"Groceries")</f>
        <v>Groceries</v>
      </c>
      <c r="C367" s="33" t="str">
        <f>IFERROR(__xludf.DUMMYFUNCTION("""COMPUTED_VALUE"""),"Healthcare")</f>
        <v>Healthcare</v>
      </c>
      <c r="D367" s="33" t="str">
        <f>IFERROR(__xludf.DUMMYFUNCTION("""COMPUTED_VALUE"""),"Household Items")</f>
        <v>Household Items</v>
      </c>
      <c r="E367" s="33" t="str">
        <f>IFERROR(__xludf.DUMMYFUNCTION("""COMPUTED_VALUE"""),"Housing")</f>
        <v>Housing</v>
      </c>
      <c r="F367" s="33" t="str">
        <f>IFERROR(__xludf.DUMMYFUNCTION("""COMPUTED_VALUE"""),"Miscellaneous")</f>
        <v>Miscellaneous</v>
      </c>
      <c r="G367" s="33" t="str">
        <f>IFERROR(__xludf.DUMMYFUNCTION("""COMPUTED_VALUE"""),"Pet")</f>
        <v>Pet</v>
      </c>
      <c r="H367" s="33" t="str">
        <f>IFERROR(__xludf.DUMMYFUNCTION("""COMPUTED_VALUE"""),"Transportation")</f>
        <v>Transportation</v>
      </c>
      <c r="I367" s="33"/>
      <c r="J367" s="33"/>
      <c r="K367" s="33"/>
    </row>
    <row r="368">
      <c r="A368" s="33" t="str">
        <f>IFERROR(__xludf.DUMMYFUNCTION("""COMPUTED_VALUE"""),"Debt")</f>
        <v>Debt</v>
      </c>
      <c r="B368" s="33" t="str">
        <f>IFERROR(__xludf.DUMMYFUNCTION("""COMPUTED_VALUE"""),"Groceries")</f>
        <v>Groceries</v>
      </c>
      <c r="C368" s="33" t="str">
        <f>IFERROR(__xludf.DUMMYFUNCTION("""COMPUTED_VALUE"""),"Healthcare")</f>
        <v>Healthcare</v>
      </c>
      <c r="D368" s="33" t="str">
        <f>IFERROR(__xludf.DUMMYFUNCTION("""COMPUTED_VALUE"""),"Household Items")</f>
        <v>Household Items</v>
      </c>
      <c r="E368" s="33" t="str">
        <f>IFERROR(__xludf.DUMMYFUNCTION("""COMPUTED_VALUE"""),"Housing")</f>
        <v>Housing</v>
      </c>
      <c r="F368" s="33" t="str">
        <f>IFERROR(__xludf.DUMMYFUNCTION("""COMPUTED_VALUE"""),"Miscellaneous")</f>
        <v>Miscellaneous</v>
      </c>
      <c r="G368" s="33" t="str">
        <f>IFERROR(__xludf.DUMMYFUNCTION("""COMPUTED_VALUE"""),"Pet")</f>
        <v>Pet</v>
      </c>
      <c r="H368" s="33" t="str">
        <f>IFERROR(__xludf.DUMMYFUNCTION("""COMPUTED_VALUE"""),"Transportation")</f>
        <v>Transportation</v>
      </c>
      <c r="I368" s="33"/>
      <c r="J368" s="33"/>
      <c r="K368" s="33"/>
    </row>
    <row r="369">
      <c r="A369" s="33" t="str">
        <f>IFERROR(__xludf.DUMMYFUNCTION("""COMPUTED_VALUE"""),"Debt")</f>
        <v>Debt</v>
      </c>
      <c r="B369" s="33" t="str">
        <f>IFERROR(__xludf.DUMMYFUNCTION("""COMPUTED_VALUE"""),"Groceries")</f>
        <v>Groceries</v>
      </c>
      <c r="C369" s="33" t="str">
        <f>IFERROR(__xludf.DUMMYFUNCTION("""COMPUTED_VALUE"""),"Healthcare")</f>
        <v>Healthcare</v>
      </c>
      <c r="D369" s="33" t="str">
        <f>IFERROR(__xludf.DUMMYFUNCTION("""COMPUTED_VALUE"""),"Household Items")</f>
        <v>Household Items</v>
      </c>
      <c r="E369" s="33" t="str">
        <f>IFERROR(__xludf.DUMMYFUNCTION("""COMPUTED_VALUE"""),"Housing")</f>
        <v>Housing</v>
      </c>
      <c r="F369" s="33" t="str">
        <f>IFERROR(__xludf.DUMMYFUNCTION("""COMPUTED_VALUE"""),"Miscellaneous")</f>
        <v>Miscellaneous</v>
      </c>
      <c r="G369" s="33" t="str">
        <f>IFERROR(__xludf.DUMMYFUNCTION("""COMPUTED_VALUE"""),"Pet")</f>
        <v>Pet</v>
      </c>
      <c r="H369" s="33" t="str">
        <f>IFERROR(__xludf.DUMMYFUNCTION("""COMPUTED_VALUE"""),"Transportation")</f>
        <v>Transportation</v>
      </c>
      <c r="I369" s="33"/>
      <c r="J369" s="33"/>
      <c r="K369" s="33"/>
    </row>
    <row r="370">
      <c r="A370" s="33" t="str">
        <f>IFERROR(__xludf.DUMMYFUNCTION("""COMPUTED_VALUE"""),"Debt")</f>
        <v>Debt</v>
      </c>
      <c r="B370" s="33" t="str">
        <f>IFERROR(__xludf.DUMMYFUNCTION("""COMPUTED_VALUE"""),"Groceries")</f>
        <v>Groceries</v>
      </c>
      <c r="C370" s="33" t="str">
        <f>IFERROR(__xludf.DUMMYFUNCTION("""COMPUTED_VALUE"""),"Healthcare")</f>
        <v>Healthcare</v>
      </c>
      <c r="D370" s="33" t="str">
        <f>IFERROR(__xludf.DUMMYFUNCTION("""COMPUTED_VALUE"""),"Household Items")</f>
        <v>Household Items</v>
      </c>
      <c r="E370" s="33" t="str">
        <f>IFERROR(__xludf.DUMMYFUNCTION("""COMPUTED_VALUE"""),"Housing")</f>
        <v>Housing</v>
      </c>
      <c r="F370" s="33" t="str">
        <f>IFERROR(__xludf.DUMMYFUNCTION("""COMPUTED_VALUE"""),"Miscellaneous")</f>
        <v>Miscellaneous</v>
      </c>
      <c r="G370" s="33" t="str">
        <f>IFERROR(__xludf.DUMMYFUNCTION("""COMPUTED_VALUE"""),"Pet")</f>
        <v>Pet</v>
      </c>
      <c r="H370" s="33" t="str">
        <f>IFERROR(__xludf.DUMMYFUNCTION("""COMPUTED_VALUE"""),"Transportation")</f>
        <v>Transportation</v>
      </c>
      <c r="I370" s="33"/>
      <c r="J370" s="33"/>
      <c r="K370" s="33"/>
    </row>
    <row r="371">
      <c r="A371" s="33" t="str">
        <f>IFERROR(__xludf.DUMMYFUNCTION("""COMPUTED_VALUE"""),"Debt")</f>
        <v>Debt</v>
      </c>
      <c r="B371" s="33" t="str">
        <f>IFERROR(__xludf.DUMMYFUNCTION("""COMPUTED_VALUE"""),"Groceries")</f>
        <v>Groceries</v>
      </c>
      <c r="C371" s="33" t="str">
        <f>IFERROR(__xludf.DUMMYFUNCTION("""COMPUTED_VALUE"""),"Healthcare")</f>
        <v>Healthcare</v>
      </c>
      <c r="D371" s="33" t="str">
        <f>IFERROR(__xludf.DUMMYFUNCTION("""COMPUTED_VALUE"""),"Household Items")</f>
        <v>Household Items</v>
      </c>
      <c r="E371" s="33" t="str">
        <f>IFERROR(__xludf.DUMMYFUNCTION("""COMPUTED_VALUE"""),"Housing")</f>
        <v>Housing</v>
      </c>
      <c r="F371" s="33" t="str">
        <f>IFERROR(__xludf.DUMMYFUNCTION("""COMPUTED_VALUE"""),"Miscellaneous")</f>
        <v>Miscellaneous</v>
      </c>
      <c r="G371" s="33" t="str">
        <f>IFERROR(__xludf.DUMMYFUNCTION("""COMPUTED_VALUE"""),"Pet")</f>
        <v>Pet</v>
      </c>
      <c r="H371" s="33" t="str">
        <f>IFERROR(__xludf.DUMMYFUNCTION("""COMPUTED_VALUE"""),"Transportation")</f>
        <v>Transportation</v>
      </c>
      <c r="I371" s="33"/>
      <c r="J371" s="33"/>
      <c r="K371" s="33"/>
    </row>
    <row r="372">
      <c r="A372" s="33" t="str">
        <f>IFERROR(__xludf.DUMMYFUNCTION("""COMPUTED_VALUE"""),"Debt")</f>
        <v>Debt</v>
      </c>
      <c r="B372" s="33" t="str">
        <f>IFERROR(__xludf.DUMMYFUNCTION("""COMPUTED_VALUE"""),"Groceries")</f>
        <v>Groceries</v>
      </c>
      <c r="C372" s="33" t="str">
        <f>IFERROR(__xludf.DUMMYFUNCTION("""COMPUTED_VALUE"""),"Healthcare")</f>
        <v>Healthcare</v>
      </c>
      <c r="D372" s="33" t="str">
        <f>IFERROR(__xludf.DUMMYFUNCTION("""COMPUTED_VALUE"""),"Household Items")</f>
        <v>Household Items</v>
      </c>
      <c r="E372" s="33" t="str">
        <f>IFERROR(__xludf.DUMMYFUNCTION("""COMPUTED_VALUE"""),"Housing")</f>
        <v>Housing</v>
      </c>
      <c r="F372" s="33" t="str">
        <f>IFERROR(__xludf.DUMMYFUNCTION("""COMPUTED_VALUE"""),"Miscellaneous")</f>
        <v>Miscellaneous</v>
      </c>
      <c r="G372" s="33" t="str">
        <f>IFERROR(__xludf.DUMMYFUNCTION("""COMPUTED_VALUE"""),"Pet")</f>
        <v>Pet</v>
      </c>
      <c r="H372" s="33" t="str">
        <f>IFERROR(__xludf.DUMMYFUNCTION("""COMPUTED_VALUE"""),"Transportation")</f>
        <v>Transportation</v>
      </c>
      <c r="I372" s="33"/>
      <c r="J372" s="33"/>
      <c r="K372" s="33"/>
    </row>
    <row r="373">
      <c r="A373" s="33" t="str">
        <f>IFERROR(__xludf.DUMMYFUNCTION("""COMPUTED_VALUE"""),"Cashback")</f>
        <v>Cashback</v>
      </c>
      <c r="B373" s="33" t="str">
        <f>IFERROR(__xludf.DUMMYFUNCTION("""COMPUTED_VALUE"""),"Investment Returns")</f>
        <v>Investment Returns</v>
      </c>
      <c r="C373" s="33" t="str">
        <f>IFERROR(__xludf.DUMMYFUNCTION("""COMPUTED_VALUE"""),"Paycheck")</f>
        <v>Paycheck</v>
      </c>
      <c r="D373" s="33" t="str">
        <f>IFERROR(__xludf.DUMMYFUNCTION("""COMPUTED_VALUE"""),"Reimbursement")</f>
        <v>Reimbursement</v>
      </c>
      <c r="E373" s="33" t="str">
        <f>IFERROR(__xludf.DUMMYFUNCTION("""COMPUTED_VALUE"""),"Rewards")</f>
        <v>Rewards</v>
      </c>
      <c r="F373" s="33"/>
      <c r="G373" s="33"/>
      <c r="H373" s="33"/>
      <c r="I373" s="33"/>
      <c r="J373" s="33"/>
      <c r="K373" s="33"/>
    </row>
    <row r="374">
      <c r="A374" s="33" t="str">
        <f>IFERROR(__xludf.DUMMYFUNCTION("""COMPUTED_VALUE"""),"Cashback")</f>
        <v>Cashback</v>
      </c>
      <c r="B374" s="33" t="str">
        <f>IFERROR(__xludf.DUMMYFUNCTION("""COMPUTED_VALUE"""),"Investment Returns")</f>
        <v>Investment Returns</v>
      </c>
      <c r="C374" s="33" t="str">
        <f>IFERROR(__xludf.DUMMYFUNCTION("""COMPUTED_VALUE"""),"Paycheck")</f>
        <v>Paycheck</v>
      </c>
      <c r="D374" s="33" t="str">
        <f>IFERROR(__xludf.DUMMYFUNCTION("""COMPUTED_VALUE"""),"Reimbursement")</f>
        <v>Reimbursement</v>
      </c>
      <c r="E374" s="33" t="str">
        <f>IFERROR(__xludf.DUMMYFUNCTION("""COMPUTED_VALUE"""),"Rewards")</f>
        <v>Rewards</v>
      </c>
      <c r="F374" s="33"/>
      <c r="G374" s="33"/>
      <c r="H374" s="33"/>
      <c r="I374" s="33"/>
      <c r="J374" s="33"/>
      <c r="K374" s="33"/>
    </row>
    <row r="375">
      <c r="A375" s="33" t="str">
        <f>IFERROR(__xludf.DUMMYFUNCTION("""COMPUTED_VALUE"""),"Deposit")</f>
        <v>Deposit</v>
      </c>
      <c r="B375" s="33" t="str">
        <f>IFERROR(__xludf.DUMMYFUNCTION("""COMPUTED_VALUE"""),"Withdrawal")</f>
        <v>Withdrawal</v>
      </c>
      <c r="C375" s="33"/>
      <c r="D375" s="33"/>
      <c r="E375" s="33"/>
      <c r="F375" s="33"/>
      <c r="G375" s="33"/>
      <c r="H375" s="33"/>
      <c r="I375" s="33"/>
      <c r="J375" s="33"/>
      <c r="K375" s="33"/>
    </row>
    <row r="376">
      <c r="A376" s="33" t="str">
        <f>IFERROR(__xludf.DUMMYFUNCTION("""COMPUTED_VALUE"""),"Deposit")</f>
        <v>Deposit</v>
      </c>
      <c r="B376" s="33" t="str">
        <f>IFERROR(__xludf.DUMMYFUNCTION("""COMPUTED_VALUE"""),"Withdrawal")</f>
        <v>Withdrawal</v>
      </c>
      <c r="C376" s="33"/>
      <c r="D376" s="33"/>
      <c r="E376" s="33"/>
      <c r="F376" s="33"/>
      <c r="G376" s="33"/>
      <c r="H376" s="33"/>
      <c r="I376" s="33"/>
      <c r="J376" s="33"/>
      <c r="K376" s="33"/>
    </row>
    <row r="377">
      <c r="A377" s="33" t="str">
        <f>IFERROR(__xludf.DUMMYFUNCTION("""COMPUTED_VALUE"""),"Clothing")</f>
        <v>Clothing</v>
      </c>
      <c r="B377" s="33" t="str">
        <f>IFERROR(__xludf.DUMMYFUNCTION("""COMPUTED_VALUE"""),"Gaming")</f>
        <v>Gaming</v>
      </c>
      <c r="C377" s="33" t="str">
        <f>IFERROR(__xludf.DUMMYFUNCTION("""COMPUTED_VALUE"""),"Gifts")</f>
        <v>Gifts</v>
      </c>
      <c r="D377" s="33" t="str">
        <f>IFERROR(__xludf.DUMMYFUNCTION("""COMPUTED_VALUE"""),"Healthcare")</f>
        <v>Healthcare</v>
      </c>
      <c r="E377" s="33" t="str">
        <f>IFERROR(__xludf.DUMMYFUNCTION("""COMPUTED_VALUE"""),"Hobbies")</f>
        <v>Hobbies</v>
      </c>
      <c r="F377" s="33" t="str">
        <f>IFERROR(__xludf.DUMMYFUNCTION("""COMPUTED_VALUE"""),"Subscriptions")</f>
        <v>Subscriptions</v>
      </c>
      <c r="G377" s="33"/>
      <c r="H377" s="33"/>
      <c r="I377" s="33"/>
      <c r="J377" s="33"/>
      <c r="K377" s="33"/>
    </row>
    <row r="378">
      <c r="A378" s="33" t="str">
        <f>IFERROR(__xludf.DUMMYFUNCTION("""COMPUTED_VALUE"""),"Dining Out")</f>
        <v>Dining Out</v>
      </c>
      <c r="B378" s="33" t="str">
        <f>IFERROR(__xludf.DUMMYFUNCTION("""COMPUTED_VALUE"""),"Entertainment")</f>
        <v>Entertainment</v>
      </c>
      <c r="C378" s="33" t="str">
        <f>IFERROR(__xludf.DUMMYFUNCTION("""COMPUTED_VALUE"""),"Gaming")</f>
        <v>Gaming</v>
      </c>
      <c r="D378" s="33" t="str">
        <f>IFERROR(__xludf.DUMMYFUNCTION("""COMPUTED_VALUE"""),"Gifts")</f>
        <v>Gifts</v>
      </c>
      <c r="E378" s="33" t="str">
        <f>IFERROR(__xludf.DUMMYFUNCTION("""COMPUTED_VALUE"""),"Groceries")</f>
        <v>Groceries</v>
      </c>
      <c r="F378" s="33" t="str">
        <f>IFERROR(__xludf.DUMMYFUNCTION("""COMPUTED_VALUE"""),"Healthcare")</f>
        <v>Healthcare</v>
      </c>
      <c r="G378" s="33" t="str">
        <f>IFERROR(__xludf.DUMMYFUNCTION("""COMPUTED_VALUE"""),"Hobbies")</f>
        <v>Hobbies</v>
      </c>
      <c r="H378" s="33" t="str">
        <f>IFERROR(__xludf.DUMMYFUNCTION("""COMPUTED_VALUE"""),"Household Items")</f>
        <v>Household Items</v>
      </c>
      <c r="I378" s="33" t="str">
        <f>IFERROR(__xludf.DUMMYFUNCTION("""COMPUTED_VALUE"""),"Subscriptions")</f>
        <v>Subscriptions</v>
      </c>
      <c r="J378" s="33" t="str">
        <f>IFERROR(__xludf.DUMMYFUNCTION("""COMPUTED_VALUE"""),"Transportation")</f>
        <v>Transportation</v>
      </c>
      <c r="K378" s="33" t="str">
        <f>IFERROR(__xludf.DUMMYFUNCTION("""COMPUTED_VALUE"""),"Travel")</f>
        <v>Travel</v>
      </c>
    </row>
    <row r="379">
      <c r="A379" s="33" t="str">
        <f>IFERROR(__xludf.DUMMYFUNCTION("""COMPUTED_VALUE"""),"Dining Out")</f>
        <v>Dining Out</v>
      </c>
      <c r="B379" s="33" t="str">
        <f>IFERROR(__xludf.DUMMYFUNCTION("""COMPUTED_VALUE"""),"Entertainment")</f>
        <v>Entertainment</v>
      </c>
      <c r="C379" s="33" t="str">
        <f>IFERROR(__xludf.DUMMYFUNCTION("""COMPUTED_VALUE"""),"Gaming")</f>
        <v>Gaming</v>
      </c>
      <c r="D379" s="33" t="str">
        <f>IFERROR(__xludf.DUMMYFUNCTION("""COMPUTED_VALUE"""),"Gifts")</f>
        <v>Gifts</v>
      </c>
      <c r="E379" s="33" t="str">
        <f>IFERROR(__xludf.DUMMYFUNCTION("""COMPUTED_VALUE"""),"Groceries")</f>
        <v>Groceries</v>
      </c>
      <c r="F379" s="33" t="str">
        <f>IFERROR(__xludf.DUMMYFUNCTION("""COMPUTED_VALUE"""),"Healthcare")</f>
        <v>Healthcare</v>
      </c>
      <c r="G379" s="33" t="str">
        <f>IFERROR(__xludf.DUMMYFUNCTION("""COMPUTED_VALUE"""),"Hobbies")</f>
        <v>Hobbies</v>
      </c>
      <c r="H379" s="33" t="str">
        <f>IFERROR(__xludf.DUMMYFUNCTION("""COMPUTED_VALUE"""),"Household Items")</f>
        <v>Household Items</v>
      </c>
      <c r="I379" s="33" t="str">
        <f>IFERROR(__xludf.DUMMYFUNCTION("""COMPUTED_VALUE"""),"Subscriptions")</f>
        <v>Subscriptions</v>
      </c>
      <c r="J379" s="33" t="str">
        <f>IFERROR(__xludf.DUMMYFUNCTION("""COMPUTED_VALUE"""),"Transportation")</f>
        <v>Transportation</v>
      </c>
      <c r="K379" s="33" t="str">
        <f>IFERROR(__xludf.DUMMYFUNCTION("""COMPUTED_VALUE"""),"Travel")</f>
        <v>Travel</v>
      </c>
    </row>
    <row r="380">
      <c r="A380" s="33" t="str">
        <f>IFERROR(__xludf.DUMMYFUNCTION("""COMPUTED_VALUE"""),"Cashback")</f>
        <v>Cashback</v>
      </c>
      <c r="B380" s="33" t="str">
        <f>IFERROR(__xludf.DUMMYFUNCTION("""COMPUTED_VALUE"""),"Investment Returns")</f>
        <v>Investment Returns</v>
      </c>
      <c r="C380" s="33" t="str">
        <f>IFERROR(__xludf.DUMMYFUNCTION("""COMPUTED_VALUE"""),"Paycheck")</f>
        <v>Paycheck</v>
      </c>
      <c r="D380" s="33" t="str">
        <f>IFERROR(__xludf.DUMMYFUNCTION("""COMPUTED_VALUE"""),"Reimbursement")</f>
        <v>Reimbursement</v>
      </c>
      <c r="E380" s="33" t="str">
        <f>IFERROR(__xludf.DUMMYFUNCTION("""COMPUTED_VALUE"""),"Rewards")</f>
        <v>Rewards</v>
      </c>
      <c r="F380" s="33"/>
      <c r="G380" s="33"/>
      <c r="H380" s="33"/>
      <c r="I380" s="33"/>
      <c r="J380" s="33"/>
      <c r="K380" s="33"/>
    </row>
    <row r="381">
      <c r="A381" s="33" t="str">
        <f>IFERROR(__xludf.DUMMYFUNCTION("""COMPUTED_VALUE"""),"Deposit")</f>
        <v>Deposit</v>
      </c>
      <c r="B381" s="33" t="str">
        <f>IFERROR(__xludf.DUMMYFUNCTION("""COMPUTED_VALUE"""),"Withdrawal")</f>
        <v>Withdrawal</v>
      </c>
      <c r="C381" s="33"/>
      <c r="D381" s="33"/>
      <c r="E381" s="33"/>
      <c r="F381" s="33"/>
      <c r="G381" s="33"/>
      <c r="H381" s="33"/>
      <c r="I381" s="33"/>
      <c r="J381" s="33"/>
      <c r="K381" s="33"/>
    </row>
    <row r="382">
      <c r="A382" s="33" t="str">
        <f>IFERROR(__xludf.DUMMYFUNCTION("""COMPUTED_VALUE"""),"Deposit")</f>
        <v>Deposit</v>
      </c>
      <c r="B382" s="33" t="str">
        <f>IFERROR(__xludf.DUMMYFUNCTION("""COMPUTED_VALUE"""),"Withdrawal")</f>
        <v>Withdrawal</v>
      </c>
      <c r="C382" s="33"/>
      <c r="D382" s="33"/>
      <c r="E382" s="33"/>
      <c r="F382" s="33"/>
      <c r="G382" s="33"/>
      <c r="H382" s="33"/>
      <c r="I382" s="33"/>
      <c r="J382" s="33"/>
      <c r="K382" s="33"/>
    </row>
    <row r="383">
      <c r="A383" s="33" t="str">
        <f>IFERROR(__xludf.DUMMYFUNCTION("""COMPUTED_VALUE"""),"FHSA")</f>
        <v>FHSA</v>
      </c>
      <c r="B383" s="33" t="str">
        <f>IFERROR(__xludf.DUMMYFUNCTION("""COMPUTED_VALUE"""),"RRSP")</f>
        <v>RRSP</v>
      </c>
      <c r="C383" s="33" t="str">
        <f>IFERROR(__xludf.DUMMYFUNCTION("""COMPUTED_VALUE"""),"TFSA")</f>
        <v>TFSA</v>
      </c>
      <c r="D383" s="33"/>
      <c r="E383" s="33"/>
      <c r="F383" s="33"/>
      <c r="G383" s="33"/>
      <c r="H383" s="33"/>
      <c r="I383" s="33"/>
      <c r="J383" s="33"/>
      <c r="K383" s="33"/>
    </row>
    <row r="384">
      <c r="A384" s="33" t="str">
        <f>IFERROR(__xludf.DUMMYFUNCTION("""COMPUTED_VALUE"""),"Deposit")</f>
        <v>Deposit</v>
      </c>
      <c r="B384" s="33" t="str">
        <f>IFERROR(__xludf.DUMMYFUNCTION("""COMPUTED_VALUE"""),"Withdrawal")</f>
        <v>Withdrawal</v>
      </c>
      <c r="C384" s="33"/>
      <c r="D384" s="33"/>
      <c r="E384" s="33"/>
      <c r="F384" s="33"/>
      <c r="G384" s="33"/>
      <c r="H384" s="33"/>
      <c r="I384" s="33"/>
      <c r="J384" s="33"/>
      <c r="K384" s="33"/>
    </row>
    <row r="385">
      <c r="A385" s="33" t="str">
        <f>IFERROR(__xludf.DUMMYFUNCTION("""COMPUTED_VALUE"""),"FHSA")</f>
        <v>FHSA</v>
      </c>
      <c r="B385" s="33" t="str">
        <f>IFERROR(__xludf.DUMMYFUNCTION("""COMPUTED_VALUE"""),"RRSP")</f>
        <v>RRSP</v>
      </c>
      <c r="C385" s="33" t="str">
        <f>IFERROR(__xludf.DUMMYFUNCTION("""COMPUTED_VALUE"""),"TFSA")</f>
        <v>TFSA</v>
      </c>
      <c r="D385" s="33"/>
      <c r="E385" s="33"/>
      <c r="F385" s="33"/>
      <c r="G385" s="33"/>
      <c r="H385" s="33"/>
      <c r="I385" s="33"/>
      <c r="J385" s="33"/>
      <c r="K385" s="33"/>
    </row>
    <row r="386">
      <c r="A386" s="33" t="str">
        <f>IFERROR(__xludf.DUMMYFUNCTION("""COMPUTED_VALUE"""),"Deposit")</f>
        <v>Deposit</v>
      </c>
      <c r="B386" s="33" t="str">
        <f>IFERROR(__xludf.DUMMYFUNCTION("""COMPUTED_VALUE"""),"Withdrawal")</f>
        <v>Withdrawal</v>
      </c>
      <c r="C386" s="33"/>
      <c r="D386" s="33"/>
      <c r="E386" s="33"/>
      <c r="F386" s="33"/>
      <c r="G386" s="33"/>
      <c r="H386" s="33"/>
      <c r="I386" s="33"/>
      <c r="J386" s="33"/>
      <c r="K386" s="33"/>
    </row>
    <row r="387">
      <c r="A387" s="33" t="str">
        <f>IFERROR(__xludf.DUMMYFUNCTION("""COMPUTED_VALUE"""),"Cashback")</f>
        <v>Cashback</v>
      </c>
      <c r="B387" s="33" t="str">
        <f>IFERROR(__xludf.DUMMYFUNCTION("""COMPUTED_VALUE"""),"Investment Returns")</f>
        <v>Investment Returns</v>
      </c>
      <c r="C387" s="33" t="str">
        <f>IFERROR(__xludf.DUMMYFUNCTION("""COMPUTED_VALUE"""),"Paycheck")</f>
        <v>Paycheck</v>
      </c>
      <c r="D387" s="33" t="str">
        <f>IFERROR(__xludf.DUMMYFUNCTION("""COMPUTED_VALUE"""),"Reimbursement")</f>
        <v>Reimbursement</v>
      </c>
      <c r="E387" s="33" t="str">
        <f>IFERROR(__xludf.DUMMYFUNCTION("""COMPUTED_VALUE"""),"Rewards")</f>
        <v>Rewards</v>
      </c>
      <c r="F387" s="33"/>
      <c r="G387" s="33"/>
      <c r="H387" s="33"/>
      <c r="I387" s="33"/>
      <c r="J387" s="33"/>
      <c r="K387" s="33"/>
    </row>
    <row r="388">
      <c r="A388" s="33" t="str">
        <f>IFERROR(__xludf.DUMMYFUNCTION("""COMPUTED_VALUE"""),"Debt")</f>
        <v>Debt</v>
      </c>
      <c r="B388" s="33" t="str">
        <f>IFERROR(__xludf.DUMMYFUNCTION("""COMPUTED_VALUE"""),"Groceries")</f>
        <v>Groceries</v>
      </c>
      <c r="C388" s="33" t="str">
        <f>IFERROR(__xludf.DUMMYFUNCTION("""COMPUTED_VALUE"""),"Healthcare")</f>
        <v>Healthcare</v>
      </c>
      <c r="D388" s="33" t="str">
        <f>IFERROR(__xludf.DUMMYFUNCTION("""COMPUTED_VALUE"""),"Household Items")</f>
        <v>Household Items</v>
      </c>
      <c r="E388" s="33" t="str">
        <f>IFERROR(__xludf.DUMMYFUNCTION("""COMPUTED_VALUE"""),"Housing")</f>
        <v>Housing</v>
      </c>
      <c r="F388" s="33" t="str">
        <f>IFERROR(__xludf.DUMMYFUNCTION("""COMPUTED_VALUE"""),"Miscellaneous")</f>
        <v>Miscellaneous</v>
      </c>
      <c r="G388" s="33" t="str">
        <f>IFERROR(__xludf.DUMMYFUNCTION("""COMPUTED_VALUE"""),"Pet")</f>
        <v>Pet</v>
      </c>
      <c r="H388" s="33" t="str">
        <f>IFERROR(__xludf.DUMMYFUNCTION("""COMPUTED_VALUE"""),"Transportation")</f>
        <v>Transportation</v>
      </c>
      <c r="I388" s="33"/>
      <c r="J388" s="33"/>
      <c r="K388" s="33"/>
    </row>
    <row r="389">
      <c r="A389" s="33" t="str">
        <f>IFERROR(__xludf.DUMMYFUNCTION("""COMPUTED_VALUE"""),"Debt")</f>
        <v>Debt</v>
      </c>
      <c r="B389" s="33" t="str">
        <f>IFERROR(__xludf.DUMMYFUNCTION("""COMPUTED_VALUE"""),"Groceries")</f>
        <v>Groceries</v>
      </c>
      <c r="C389" s="33" t="str">
        <f>IFERROR(__xludf.DUMMYFUNCTION("""COMPUTED_VALUE"""),"Healthcare")</f>
        <v>Healthcare</v>
      </c>
      <c r="D389" s="33" t="str">
        <f>IFERROR(__xludf.DUMMYFUNCTION("""COMPUTED_VALUE"""),"Household Items")</f>
        <v>Household Items</v>
      </c>
      <c r="E389" s="33" t="str">
        <f>IFERROR(__xludf.DUMMYFUNCTION("""COMPUTED_VALUE"""),"Housing")</f>
        <v>Housing</v>
      </c>
      <c r="F389" s="33" t="str">
        <f>IFERROR(__xludf.DUMMYFUNCTION("""COMPUTED_VALUE"""),"Miscellaneous")</f>
        <v>Miscellaneous</v>
      </c>
      <c r="G389" s="33" t="str">
        <f>IFERROR(__xludf.DUMMYFUNCTION("""COMPUTED_VALUE"""),"Pet")</f>
        <v>Pet</v>
      </c>
      <c r="H389" s="33" t="str">
        <f>IFERROR(__xludf.DUMMYFUNCTION("""COMPUTED_VALUE"""),"Transportation")</f>
        <v>Transportation</v>
      </c>
      <c r="I389" s="33"/>
      <c r="J389" s="33"/>
      <c r="K389" s="33"/>
    </row>
    <row r="390">
      <c r="A390" s="33" t="str">
        <f>IFERROR(__xludf.DUMMYFUNCTION("""COMPUTED_VALUE"""),"Debt")</f>
        <v>Debt</v>
      </c>
      <c r="B390" s="33" t="str">
        <f>IFERROR(__xludf.DUMMYFUNCTION("""COMPUTED_VALUE"""),"Groceries")</f>
        <v>Groceries</v>
      </c>
      <c r="C390" s="33" t="str">
        <f>IFERROR(__xludf.DUMMYFUNCTION("""COMPUTED_VALUE"""),"Healthcare")</f>
        <v>Healthcare</v>
      </c>
      <c r="D390" s="33" t="str">
        <f>IFERROR(__xludf.DUMMYFUNCTION("""COMPUTED_VALUE"""),"Household Items")</f>
        <v>Household Items</v>
      </c>
      <c r="E390" s="33" t="str">
        <f>IFERROR(__xludf.DUMMYFUNCTION("""COMPUTED_VALUE"""),"Housing")</f>
        <v>Housing</v>
      </c>
      <c r="F390" s="33" t="str">
        <f>IFERROR(__xludf.DUMMYFUNCTION("""COMPUTED_VALUE"""),"Miscellaneous")</f>
        <v>Miscellaneous</v>
      </c>
      <c r="G390" s="33" t="str">
        <f>IFERROR(__xludf.DUMMYFUNCTION("""COMPUTED_VALUE"""),"Pet")</f>
        <v>Pet</v>
      </c>
      <c r="H390" s="33" t="str">
        <f>IFERROR(__xludf.DUMMYFUNCTION("""COMPUTED_VALUE"""),"Transportation")</f>
        <v>Transportation</v>
      </c>
      <c r="I390" s="33"/>
      <c r="J390" s="33"/>
      <c r="K390" s="33"/>
    </row>
    <row r="391">
      <c r="A391" s="33" t="str">
        <f>IFERROR(__xludf.DUMMYFUNCTION("""COMPUTED_VALUE"""),"Debt")</f>
        <v>Debt</v>
      </c>
      <c r="B391" s="33" t="str">
        <f>IFERROR(__xludf.DUMMYFUNCTION("""COMPUTED_VALUE"""),"Groceries")</f>
        <v>Groceries</v>
      </c>
      <c r="C391" s="33" t="str">
        <f>IFERROR(__xludf.DUMMYFUNCTION("""COMPUTED_VALUE"""),"Healthcare")</f>
        <v>Healthcare</v>
      </c>
      <c r="D391" s="33" t="str">
        <f>IFERROR(__xludf.DUMMYFUNCTION("""COMPUTED_VALUE"""),"Household Items")</f>
        <v>Household Items</v>
      </c>
      <c r="E391" s="33" t="str">
        <f>IFERROR(__xludf.DUMMYFUNCTION("""COMPUTED_VALUE"""),"Housing")</f>
        <v>Housing</v>
      </c>
      <c r="F391" s="33" t="str">
        <f>IFERROR(__xludf.DUMMYFUNCTION("""COMPUTED_VALUE"""),"Miscellaneous")</f>
        <v>Miscellaneous</v>
      </c>
      <c r="G391" s="33" t="str">
        <f>IFERROR(__xludf.DUMMYFUNCTION("""COMPUTED_VALUE"""),"Pet")</f>
        <v>Pet</v>
      </c>
      <c r="H391" s="33" t="str">
        <f>IFERROR(__xludf.DUMMYFUNCTION("""COMPUTED_VALUE"""),"Transportation")</f>
        <v>Transportation</v>
      </c>
      <c r="I391" s="33"/>
      <c r="J391" s="33"/>
      <c r="K391" s="33"/>
    </row>
    <row r="392">
      <c r="A392" s="33" t="str">
        <f>IFERROR(__xludf.DUMMYFUNCTION("""COMPUTED_VALUE"""),"Debt")</f>
        <v>Debt</v>
      </c>
      <c r="B392" s="33" t="str">
        <f>IFERROR(__xludf.DUMMYFUNCTION("""COMPUTED_VALUE"""),"Groceries")</f>
        <v>Groceries</v>
      </c>
      <c r="C392" s="33" t="str">
        <f>IFERROR(__xludf.DUMMYFUNCTION("""COMPUTED_VALUE"""),"Healthcare")</f>
        <v>Healthcare</v>
      </c>
      <c r="D392" s="33" t="str">
        <f>IFERROR(__xludf.DUMMYFUNCTION("""COMPUTED_VALUE"""),"Household Items")</f>
        <v>Household Items</v>
      </c>
      <c r="E392" s="33" t="str">
        <f>IFERROR(__xludf.DUMMYFUNCTION("""COMPUTED_VALUE"""),"Housing")</f>
        <v>Housing</v>
      </c>
      <c r="F392" s="33" t="str">
        <f>IFERROR(__xludf.DUMMYFUNCTION("""COMPUTED_VALUE"""),"Miscellaneous")</f>
        <v>Miscellaneous</v>
      </c>
      <c r="G392" s="33" t="str">
        <f>IFERROR(__xludf.DUMMYFUNCTION("""COMPUTED_VALUE"""),"Pet")</f>
        <v>Pet</v>
      </c>
      <c r="H392" s="33" t="str">
        <f>IFERROR(__xludf.DUMMYFUNCTION("""COMPUTED_VALUE"""),"Transportation")</f>
        <v>Transportation</v>
      </c>
      <c r="I392" s="33"/>
      <c r="J392" s="33"/>
      <c r="K392" s="33"/>
    </row>
    <row r="393">
      <c r="A393" s="33" t="str">
        <f>IFERROR(__xludf.DUMMYFUNCTION("""COMPUTED_VALUE"""),"Debt")</f>
        <v>Debt</v>
      </c>
      <c r="B393" s="33" t="str">
        <f>IFERROR(__xludf.DUMMYFUNCTION("""COMPUTED_VALUE"""),"Groceries")</f>
        <v>Groceries</v>
      </c>
      <c r="C393" s="33" t="str">
        <f>IFERROR(__xludf.DUMMYFUNCTION("""COMPUTED_VALUE"""),"Healthcare")</f>
        <v>Healthcare</v>
      </c>
      <c r="D393" s="33" t="str">
        <f>IFERROR(__xludf.DUMMYFUNCTION("""COMPUTED_VALUE"""),"Household Items")</f>
        <v>Household Items</v>
      </c>
      <c r="E393" s="33" t="str">
        <f>IFERROR(__xludf.DUMMYFUNCTION("""COMPUTED_VALUE"""),"Housing")</f>
        <v>Housing</v>
      </c>
      <c r="F393" s="33" t="str">
        <f>IFERROR(__xludf.DUMMYFUNCTION("""COMPUTED_VALUE"""),"Miscellaneous")</f>
        <v>Miscellaneous</v>
      </c>
      <c r="G393" s="33" t="str">
        <f>IFERROR(__xludf.DUMMYFUNCTION("""COMPUTED_VALUE"""),"Pet")</f>
        <v>Pet</v>
      </c>
      <c r="H393" s="33" t="str">
        <f>IFERROR(__xludf.DUMMYFUNCTION("""COMPUTED_VALUE"""),"Transportation")</f>
        <v>Transportation</v>
      </c>
      <c r="I393" s="33"/>
      <c r="J393" s="33"/>
      <c r="K393" s="33"/>
    </row>
    <row r="394">
      <c r="A394" s="33" t="str">
        <f>IFERROR(__xludf.DUMMYFUNCTION("""COMPUTED_VALUE"""),"Debt")</f>
        <v>Debt</v>
      </c>
      <c r="B394" s="33" t="str">
        <f>IFERROR(__xludf.DUMMYFUNCTION("""COMPUTED_VALUE"""),"Groceries")</f>
        <v>Groceries</v>
      </c>
      <c r="C394" s="33" t="str">
        <f>IFERROR(__xludf.DUMMYFUNCTION("""COMPUTED_VALUE"""),"Healthcare")</f>
        <v>Healthcare</v>
      </c>
      <c r="D394" s="33" t="str">
        <f>IFERROR(__xludf.DUMMYFUNCTION("""COMPUTED_VALUE"""),"Household Items")</f>
        <v>Household Items</v>
      </c>
      <c r="E394" s="33" t="str">
        <f>IFERROR(__xludf.DUMMYFUNCTION("""COMPUTED_VALUE"""),"Housing")</f>
        <v>Housing</v>
      </c>
      <c r="F394" s="33" t="str">
        <f>IFERROR(__xludf.DUMMYFUNCTION("""COMPUTED_VALUE"""),"Miscellaneous")</f>
        <v>Miscellaneous</v>
      </c>
      <c r="G394" s="33" t="str">
        <f>IFERROR(__xludf.DUMMYFUNCTION("""COMPUTED_VALUE"""),"Pet")</f>
        <v>Pet</v>
      </c>
      <c r="H394" s="33" t="str">
        <f>IFERROR(__xludf.DUMMYFUNCTION("""COMPUTED_VALUE"""),"Transportation")</f>
        <v>Transportation</v>
      </c>
      <c r="I394" s="33"/>
      <c r="J394" s="33"/>
      <c r="K394" s="33"/>
    </row>
    <row r="395">
      <c r="A395" s="33" t="str">
        <f>IFERROR(__xludf.DUMMYFUNCTION("""COMPUTED_VALUE"""),"Debt")</f>
        <v>Debt</v>
      </c>
      <c r="B395" s="33" t="str">
        <f>IFERROR(__xludf.DUMMYFUNCTION("""COMPUTED_VALUE"""),"Groceries")</f>
        <v>Groceries</v>
      </c>
      <c r="C395" s="33" t="str">
        <f>IFERROR(__xludf.DUMMYFUNCTION("""COMPUTED_VALUE"""),"Healthcare")</f>
        <v>Healthcare</v>
      </c>
      <c r="D395" s="33" t="str">
        <f>IFERROR(__xludf.DUMMYFUNCTION("""COMPUTED_VALUE"""),"Household Items")</f>
        <v>Household Items</v>
      </c>
      <c r="E395" s="33" t="str">
        <f>IFERROR(__xludf.DUMMYFUNCTION("""COMPUTED_VALUE"""),"Housing")</f>
        <v>Housing</v>
      </c>
      <c r="F395" s="33" t="str">
        <f>IFERROR(__xludf.DUMMYFUNCTION("""COMPUTED_VALUE"""),"Miscellaneous")</f>
        <v>Miscellaneous</v>
      </c>
      <c r="G395" s="33" t="str">
        <f>IFERROR(__xludf.DUMMYFUNCTION("""COMPUTED_VALUE"""),"Pet")</f>
        <v>Pet</v>
      </c>
      <c r="H395" s="33" t="str">
        <f>IFERROR(__xludf.DUMMYFUNCTION("""COMPUTED_VALUE"""),"Transportation")</f>
        <v>Transportation</v>
      </c>
      <c r="I395" s="33"/>
      <c r="J395" s="33"/>
      <c r="K395" s="33"/>
    </row>
    <row r="396">
      <c r="A396" s="33" t="str">
        <f>IFERROR(__xludf.DUMMYFUNCTION("""COMPUTED_VALUE"""),"Debt")</f>
        <v>Debt</v>
      </c>
      <c r="B396" s="33" t="str">
        <f>IFERROR(__xludf.DUMMYFUNCTION("""COMPUTED_VALUE"""),"Groceries")</f>
        <v>Groceries</v>
      </c>
      <c r="C396" s="33" t="str">
        <f>IFERROR(__xludf.DUMMYFUNCTION("""COMPUTED_VALUE"""),"Healthcare")</f>
        <v>Healthcare</v>
      </c>
      <c r="D396" s="33" t="str">
        <f>IFERROR(__xludf.DUMMYFUNCTION("""COMPUTED_VALUE"""),"Household Items")</f>
        <v>Household Items</v>
      </c>
      <c r="E396" s="33" t="str">
        <f>IFERROR(__xludf.DUMMYFUNCTION("""COMPUTED_VALUE"""),"Housing")</f>
        <v>Housing</v>
      </c>
      <c r="F396" s="33" t="str">
        <f>IFERROR(__xludf.DUMMYFUNCTION("""COMPUTED_VALUE"""),"Miscellaneous")</f>
        <v>Miscellaneous</v>
      </c>
      <c r="G396" s="33" t="str">
        <f>IFERROR(__xludf.DUMMYFUNCTION("""COMPUTED_VALUE"""),"Pet")</f>
        <v>Pet</v>
      </c>
      <c r="H396" s="33" t="str">
        <f>IFERROR(__xludf.DUMMYFUNCTION("""COMPUTED_VALUE"""),"Transportation")</f>
        <v>Transportation</v>
      </c>
      <c r="I396" s="33"/>
      <c r="J396" s="33"/>
      <c r="K396" s="33"/>
    </row>
    <row r="397">
      <c r="A397" s="33" t="str">
        <f>IFERROR(__xludf.DUMMYFUNCTION("""COMPUTED_VALUE"""),"Debt")</f>
        <v>Debt</v>
      </c>
      <c r="B397" s="33" t="str">
        <f>IFERROR(__xludf.DUMMYFUNCTION("""COMPUTED_VALUE"""),"Groceries")</f>
        <v>Groceries</v>
      </c>
      <c r="C397" s="33" t="str">
        <f>IFERROR(__xludf.DUMMYFUNCTION("""COMPUTED_VALUE"""),"Healthcare")</f>
        <v>Healthcare</v>
      </c>
      <c r="D397" s="33" t="str">
        <f>IFERROR(__xludf.DUMMYFUNCTION("""COMPUTED_VALUE"""),"Household Items")</f>
        <v>Household Items</v>
      </c>
      <c r="E397" s="33" t="str">
        <f>IFERROR(__xludf.DUMMYFUNCTION("""COMPUTED_VALUE"""),"Housing")</f>
        <v>Housing</v>
      </c>
      <c r="F397" s="33" t="str">
        <f>IFERROR(__xludf.DUMMYFUNCTION("""COMPUTED_VALUE"""),"Miscellaneous")</f>
        <v>Miscellaneous</v>
      </c>
      <c r="G397" s="33" t="str">
        <f>IFERROR(__xludf.DUMMYFUNCTION("""COMPUTED_VALUE"""),"Pet")</f>
        <v>Pet</v>
      </c>
      <c r="H397" s="33" t="str">
        <f>IFERROR(__xludf.DUMMYFUNCTION("""COMPUTED_VALUE"""),"Transportation")</f>
        <v>Transportation</v>
      </c>
      <c r="I397" s="33"/>
      <c r="J397" s="33"/>
      <c r="K397" s="33"/>
    </row>
    <row r="398">
      <c r="A398" s="33" t="str">
        <f>IFERROR(__xludf.DUMMYFUNCTION("""COMPUTED_VALUE"""),"Deposit")</f>
        <v>Deposit</v>
      </c>
      <c r="B398" s="33" t="str">
        <f>IFERROR(__xludf.DUMMYFUNCTION("""COMPUTED_VALUE"""),"Withdrawal")</f>
        <v>Withdrawal</v>
      </c>
      <c r="C398" s="33"/>
      <c r="D398" s="33"/>
      <c r="E398" s="33"/>
      <c r="F398" s="33"/>
      <c r="G398" s="33"/>
      <c r="H398" s="33"/>
      <c r="I398" s="33"/>
      <c r="J398" s="33"/>
      <c r="K398" s="33"/>
    </row>
    <row r="399">
      <c r="A399" s="33" t="str">
        <f>IFERROR(__xludf.DUMMYFUNCTION("""COMPUTED_VALUE"""),"Deposit")</f>
        <v>Deposit</v>
      </c>
      <c r="B399" s="33" t="str">
        <f>IFERROR(__xludf.DUMMYFUNCTION("""COMPUTED_VALUE"""),"Withdrawal")</f>
        <v>Withdrawal</v>
      </c>
      <c r="C399" s="33"/>
      <c r="D399" s="33"/>
      <c r="E399" s="33"/>
      <c r="F399" s="33"/>
      <c r="G399" s="33"/>
      <c r="H399" s="33"/>
      <c r="I399" s="33"/>
      <c r="J399" s="33"/>
      <c r="K399" s="33"/>
    </row>
    <row r="400">
      <c r="A400" s="33" t="str">
        <f>IFERROR(__xludf.DUMMYFUNCTION("""COMPUTED_VALUE"""),"Dining Out")</f>
        <v>Dining Out</v>
      </c>
      <c r="B400" s="33" t="str">
        <f>IFERROR(__xludf.DUMMYFUNCTION("""COMPUTED_VALUE"""),"Entertainment")</f>
        <v>Entertainment</v>
      </c>
      <c r="C400" s="33" t="str">
        <f>IFERROR(__xludf.DUMMYFUNCTION("""COMPUTED_VALUE"""),"Gaming")</f>
        <v>Gaming</v>
      </c>
      <c r="D400" s="33" t="str">
        <f>IFERROR(__xludf.DUMMYFUNCTION("""COMPUTED_VALUE"""),"Gifts")</f>
        <v>Gifts</v>
      </c>
      <c r="E400" s="33" t="str">
        <f>IFERROR(__xludf.DUMMYFUNCTION("""COMPUTED_VALUE"""),"Groceries")</f>
        <v>Groceries</v>
      </c>
      <c r="F400" s="33" t="str">
        <f>IFERROR(__xludf.DUMMYFUNCTION("""COMPUTED_VALUE"""),"Healthcare")</f>
        <v>Healthcare</v>
      </c>
      <c r="G400" s="33" t="str">
        <f>IFERROR(__xludf.DUMMYFUNCTION("""COMPUTED_VALUE"""),"Hobbies")</f>
        <v>Hobbies</v>
      </c>
      <c r="H400" s="33" t="str">
        <f>IFERROR(__xludf.DUMMYFUNCTION("""COMPUTED_VALUE"""),"Household Items")</f>
        <v>Household Items</v>
      </c>
      <c r="I400" s="33" t="str">
        <f>IFERROR(__xludf.DUMMYFUNCTION("""COMPUTED_VALUE"""),"Subscriptions")</f>
        <v>Subscriptions</v>
      </c>
      <c r="J400" s="33" t="str">
        <f>IFERROR(__xludf.DUMMYFUNCTION("""COMPUTED_VALUE"""),"Transportation")</f>
        <v>Transportation</v>
      </c>
      <c r="K400" s="33" t="str">
        <f>IFERROR(__xludf.DUMMYFUNCTION("""COMPUTED_VALUE"""),"Travel")</f>
        <v>Travel</v>
      </c>
    </row>
    <row r="401">
      <c r="A401" s="33" t="str">
        <f>IFERROR(__xludf.DUMMYFUNCTION("""COMPUTED_VALUE"""),"Debt")</f>
        <v>Debt</v>
      </c>
      <c r="B401" s="33" t="str">
        <f>IFERROR(__xludf.DUMMYFUNCTION("""COMPUTED_VALUE"""),"Groceries")</f>
        <v>Groceries</v>
      </c>
      <c r="C401" s="33" t="str">
        <f>IFERROR(__xludf.DUMMYFUNCTION("""COMPUTED_VALUE"""),"Healthcare")</f>
        <v>Healthcare</v>
      </c>
      <c r="D401" s="33" t="str">
        <f>IFERROR(__xludf.DUMMYFUNCTION("""COMPUTED_VALUE"""),"Household Items")</f>
        <v>Household Items</v>
      </c>
      <c r="E401" s="33" t="str">
        <f>IFERROR(__xludf.DUMMYFUNCTION("""COMPUTED_VALUE"""),"Housing")</f>
        <v>Housing</v>
      </c>
      <c r="F401" s="33" t="str">
        <f>IFERROR(__xludf.DUMMYFUNCTION("""COMPUTED_VALUE"""),"Miscellaneous")</f>
        <v>Miscellaneous</v>
      </c>
      <c r="G401" s="33" t="str">
        <f>IFERROR(__xludf.DUMMYFUNCTION("""COMPUTED_VALUE"""),"Pet")</f>
        <v>Pet</v>
      </c>
      <c r="H401" s="33" t="str">
        <f>IFERROR(__xludf.DUMMYFUNCTION("""COMPUTED_VALUE"""),"Transportation")</f>
        <v>Transportation</v>
      </c>
      <c r="I401" s="33"/>
      <c r="J401" s="33"/>
      <c r="K401" s="33"/>
    </row>
    <row r="402">
      <c r="A402" s="33" t="str">
        <f>IFERROR(__xludf.DUMMYFUNCTION("""COMPUTED_VALUE"""),"Debt")</f>
        <v>Debt</v>
      </c>
      <c r="B402" s="33" t="str">
        <f>IFERROR(__xludf.DUMMYFUNCTION("""COMPUTED_VALUE"""),"Groceries")</f>
        <v>Groceries</v>
      </c>
      <c r="C402" s="33" t="str">
        <f>IFERROR(__xludf.DUMMYFUNCTION("""COMPUTED_VALUE"""),"Healthcare")</f>
        <v>Healthcare</v>
      </c>
      <c r="D402" s="33" t="str">
        <f>IFERROR(__xludf.DUMMYFUNCTION("""COMPUTED_VALUE"""),"Household Items")</f>
        <v>Household Items</v>
      </c>
      <c r="E402" s="33" t="str">
        <f>IFERROR(__xludf.DUMMYFUNCTION("""COMPUTED_VALUE"""),"Housing")</f>
        <v>Housing</v>
      </c>
      <c r="F402" s="33" t="str">
        <f>IFERROR(__xludf.DUMMYFUNCTION("""COMPUTED_VALUE"""),"Miscellaneous")</f>
        <v>Miscellaneous</v>
      </c>
      <c r="G402" s="33" t="str">
        <f>IFERROR(__xludf.DUMMYFUNCTION("""COMPUTED_VALUE"""),"Pet")</f>
        <v>Pet</v>
      </c>
      <c r="H402" s="33" t="str">
        <f>IFERROR(__xludf.DUMMYFUNCTION("""COMPUTED_VALUE"""),"Transportation")</f>
        <v>Transportation</v>
      </c>
      <c r="I402" s="33"/>
      <c r="J402" s="33"/>
      <c r="K402" s="33"/>
    </row>
    <row r="403">
      <c r="A403" s="33" t="str">
        <f>IFERROR(__xludf.DUMMYFUNCTION("""COMPUTED_VALUE"""),"Debt")</f>
        <v>Debt</v>
      </c>
      <c r="B403" s="33" t="str">
        <f>IFERROR(__xludf.DUMMYFUNCTION("""COMPUTED_VALUE"""),"Groceries")</f>
        <v>Groceries</v>
      </c>
      <c r="C403" s="33" t="str">
        <f>IFERROR(__xludf.DUMMYFUNCTION("""COMPUTED_VALUE"""),"Healthcare")</f>
        <v>Healthcare</v>
      </c>
      <c r="D403" s="33" t="str">
        <f>IFERROR(__xludf.DUMMYFUNCTION("""COMPUTED_VALUE"""),"Household Items")</f>
        <v>Household Items</v>
      </c>
      <c r="E403" s="33" t="str">
        <f>IFERROR(__xludf.DUMMYFUNCTION("""COMPUTED_VALUE"""),"Housing")</f>
        <v>Housing</v>
      </c>
      <c r="F403" s="33" t="str">
        <f>IFERROR(__xludf.DUMMYFUNCTION("""COMPUTED_VALUE"""),"Miscellaneous")</f>
        <v>Miscellaneous</v>
      </c>
      <c r="G403" s="33" t="str">
        <f>IFERROR(__xludf.DUMMYFUNCTION("""COMPUTED_VALUE"""),"Pet")</f>
        <v>Pet</v>
      </c>
      <c r="H403" s="33" t="str">
        <f>IFERROR(__xludf.DUMMYFUNCTION("""COMPUTED_VALUE"""),"Transportation")</f>
        <v>Transportation</v>
      </c>
      <c r="I403" s="33"/>
      <c r="J403" s="33"/>
      <c r="K403" s="33"/>
    </row>
    <row r="404">
      <c r="A404" s="33" t="str">
        <f>IFERROR(__xludf.DUMMYFUNCTION("""COMPUTED_VALUE"""),"Debt")</f>
        <v>Debt</v>
      </c>
      <c r="B404" s="33" t="str">
        <f>IFERROR(__xludf.DUMMYFUNCTION("""COMPUTED_VALUE"""),"Groceries")</f>
        <v>Groceries</v>
      </c>
      <c r="C404" s="33" t="str">
        <f>IFERROR(__xludf.DUMMYFUNCTION("""COMPUTED_VALUE"""),"Healthcare")</f>
        <v>Healthcare</v>
      </c>
      <c r="D404" s="33" t="str">
        <f>IFERROR(__xludf.DUMMYFUNCTION("""COMPUTED_VALUE"""),"Household Items")</f>
        <v>Household Items</v>
      </c>
      <c r="E404" s="33" t="str">
        <f>IFERROR(__xludf.DUMMYFUNCTION("""COMPUTED_VALUE"""),"Housing")</f>
        <v>Housing</v>
      </c>
      <c r="F404" s="33" t="str">
        <f>IFERROR(__xludf.DUMMYFUNCTION("""COMPUTED_VALUE"""),"Miscellaneous")</f>
        <v>Miscellaneous</v>
      </c>
      <c r="G404" s="33" t="str">
        <f>IFERROR(__xludf.DUMMYFUNCTION("""COMPUTED_VALUE"""),"Pet")</f>
        <v>Pet</v>
      </c>
      <c r="H404" s="33" t="str">
        <f>IFERROR(__xludf.DUMMYFUNCTION("""COMPUTED_VALUE"""),"Transportation")</f>
        <v>Transportation</v>
      </c>
      <c r="I404" s="33"/>
      <c r="J404" s="33"/>
      <c r="K404" s="33"/>
    </row>
    <row r="405">
      <c r="A405" s="33" t="str">
        <f>IFERROR(__xludf.DUMMYFUNCTION("""COMPUTED_VALUE"""),"Clothing")</f>
        <v>Clothing</v>
      </c>
      <c r="B405" s="33" t="str">
        <f>IFERROR(__xludf.DUMMYFUNCTION("""COMPUTED_VALUE"""),"Gaming")</f>
        <v>Gaming</v>
      </c>
      <c r="C405" s="33" t="str">
        <f>IFERROR(__xludf.DUMMYFUNCTION("""COMPUTED_VALUE"""),"Gifts")</f>
        <v>Gifts</v>
      </c>
      <c r="D405" s="33" t="str">
        <f>IFERROR(__xludf.DUMMYFUNCTION("""COMPUTED_VALUE"""),"Healthcare")</f>
        <v>Healthcare</v>
      </c>
      <c r="E405" s="33" t="str">
        <f>IFERROR(__xludf.DUMMYFUNCTION("""COMPUTED_VALUE"""),"Hobbies")</f>
        <v>Hobbies</v>
      </c>
      <c r="F405" s="33" t="str">
        <f>IFERROR(__xludf.DUMMYFUNCTION("""COMPUTED_VALUE"""),"Subscriptions")</f>
        <v>Subscriptions</v>
      </c>
      <c r="G405" s="33"/>
      <c r="H405" s="33"/>
      <c r="I405" s="33"/>
      <c r="J405" s="33"/>
      <c r="K405" s="33"/>
    </row>
    <row r="406">
      <c r="A406" s="33" t="str">
        <f>IFERROR(__xludf.DUMMYFUNCTION("""COMPUTED_VALUE"""),"Deposit")</f>
        <v>Deposit</v>
      </c>
      <c r="B406" s="33" t="str">
        <f>IFERROR(__xludf.DUMMYFUNCTION("""COMPUTED_VALUE"""),"Withdrawal")</f>
        <v>Withdrawal</v>
      </c>
      <c r="C406" s="33"/>
      <c r="D406" s="33"/>
      <c r="E406" s="33"/>
      <c r="F406" s="33"/>
      <c r="G406" s="33"/>
      <c r="H406" s="33"/>
      <c r="I406" s="33"/>
      <c r="J406" s="33"/>
      <c r="K406" s="33"/>
    </row>
    <row r="407">
      <c r="A407" s="33" t="str">
        <f>IFERROR(__xludf.DUMMYFUNCTION("""COMPUTED_VALUE"""),"Deposit")</f>
        <v>Deposit</v>
      </c>
      <c r="B407" s="33" t="str">
        <f>IFERROR(__xludf.DUMMYFUNCTION("""COMPUTED_VALUE"""),"Withdrawal")</f>
        <v>Withdrawal</v>
      </c>
      <c r="C407" s="33"/>
      <c r="D407" s="33"/>
      <c r="E407" s="33"/>
      <c r="F407" s="33"/>
      <c r="G407" s="33"/>
      <c r="H407" s="33"/>
      <c r="I407" s="33"/>
      <c r="J407" s="33"/>
      <c r="K407" s="33"/>
    </row>
    <row r="408">
      <c r="A408" s="33" t="str">
        <f>IFERROR(__xludf.DUMMYFUNCTION("""COMPUTED_VALUE"""),"Cashback")</f>
        <v>Cashback</v>
      </c>
      <c r="B408" s="33" t="str">
        <f>IFERROR(__xludf.DUMMYFUNCTION("""COMPUTED_VALUE"""),"Investment Returns")</f>
        <v>Investment Returns</v>
      </c>
      <c r="C408" s="33" t="str">
        <f>IFERROR(__xludf.DUMMYFUNCTION("""COMPUTED_VALUE"""),"Paycheck")</f>
        <v>Paycheck</v>
      </c>
      <c r="D408" s="33" t="str">
        <f>IFERROR(__xludf.DUMMYFUNCTION("""COMPUTED_VALUE"""),"Reimbursement")</f>
        <v>Reimbursement</v>
      </c>
      <c r="E408" s="33" t="str">
        <f>IFERROR(__xludf.DUMMYFUNCTION("""COMPUTED_VALUE"""),"Rewards")</f>
        <v>Rewards</v>
      </c>
      <c r="F408" s="33"/>
      <c r="G408" s="33"/>
      <c r="H408" s="33"/>
      <c r="I408" s="33"/>
      <c r="J408" s="33"/>
      <c r="K408" s="33"/>
    </row>
    <row r="409">
      <c r="A409" s="33" t="str">
        <f>IFERROR(__xludf.DUMMYFUNCTION("""COMPUTED_VALUE"""),"Cashback")</f>
        <v>Cashback</v>
      </c>
      <c r="B409" s="33" t="str">
        <f>IFERROR(__xludf.DUMMYFUNCTION("""COMPUTED_VALUE"""),"Investment Returns")</f>
        <v>Investment Returns</v>
      </c>
      <c r="C409" s="33" t="str">
        <f>IFERROR(__xludf.DUMMYFUNCTION("""COMPUTED_VALUE"""),"Paycheck")</f>
        <v>Paycheck</v>
      </c>
      <c r="D409" s="33" t="str">
        <f>IFERROR(__xludf.DUMMYFUNCTION("""COMPUTED_VALUE"""),"Reimbursement")</f>
        <v>Reimbursement</v>
      </c>
      <c r="E409" s="33" t="str">
        <f>IFERROR(__xludf.DUMMYFUNCTION("""COMPUTED_VALUE"""),"Rewards")</f>
        <v>Rewards</v>
      </c>
      <c r="F409" s="33"/>
      <c r="G409" s="33"/>
      <c r="H409" s="33"/>
      <c r="I409" s="33"/>
      <c r="J409" s="33"/>
      <c r="K409" s="33"/>
    </row>
    <row r="410">
      <c r="A410" s="33" t="str">
        <f>IFERROR(__xludf.DUMMYFUNCTION("""COMPUTED_VALUE"""),"FHSA")</f>
        <v>FHSA</v>
      </c>
      <c r="B410" s="33" t="str">
        <f>IFERROR(__xludf.DUMMYFUNCTION("""COMPUTED_VALUE"""),"RRSP")</f>
        <v>RRSP</v>
      </c>
      <c r="C410" s="33" t="str">
        <f>IFERROR(__xludf.DUMMYFUNCTION("""COMPUTED_VALUE"""),"TFSA")</f>
        <v>TFSA</v>
      </c>
      <c r="D410" s="33"/>
      <c r="E410" s="33"/>
      <c r="F410" s="33"/>
      <c r="G410" s="33"/>
      <c r="H410" s="33"/>
      <c r="I410" s="33"/>
      <c r="J410" s="33"/>
      <c r="K410" s="33"/>
    </row>
    <row r="411">
      <c r="A411" s="33" t="str">
        <f>IFERROR(__xludf.DUMMYFUNCTION("""COMPUTED_VALUE"""),"Deposit")</f>
        <v>Deposit</v>
      </c>
      <c r="B411" s="33" t="str">
        <f>IFERROR(__xludf.DUMMYFUNCTION("""COMPUTED_VALUE"""),"Withdrawal")</f>
        <v>Withdrawal</v>
      </c>
      <c r="C411" s="33"/>
      <c r="D411" s="33"/>
      <c r="E411" s="33"/>
      <c r="F411" s="33"/>
      <c r="G411" s="33"/>
      <c r="H411" s="33"/>
      <c r="I411" s="33"/>
      <c r="J411" s="33"/>
      <c r="K411" s="33"/>
    </row>
    <row r="412">
      <c r="A412" s="33" t="str">
        <f>IFERROR(__xludf.DUMMYFUNCTION("""COMPUTED_VALUE"""),"FHSA")</f>
        <v>FHSA</v>
      </c>
      <c r="B412" s="33" t="str">
        <f>IFERROR(__xludf.DUMMYFUNCTION("""COMPUTED_VALUE"""),"RRSP")</f>
        <v>RRSP</v>
      </c>
      <c r="C412" s="33" t="str">
        <f>IFERROR(__xludf.DUMMYFUNCTION("""COMPUTED_VALUE"""),"TFSA")</f>
        <v>TFSA</v>
      </c>
      <c r="D412" s="33"/>
      <c r="E412" s="33"/>
      <c r="F412" s="33"/>
      <c r="G412" s="33"/>
      <c r="H412" s="33"/>
      <c r="I412" s="33"/>
      <c r="J412" s="33"/>
      <c r="K412" s="33"/>
    </row>
    <row r="413">
      <c r="A413" s="33" t="str">
        <f>IFERROR(__xludf.DUMMYFUNCTION("""COMPUTED_VALUE"""),"Deposit")</f>
        <v>Deposit</v>
      </c>
      <c r="B413" s="33" t="str">
        <f>IFERROR(__xludf.DUMMYFUNCTION("""COMPUTED_VALUE"""),"Withdrawal")</f>
        <v>Withdrawal</v>
      </c>
      <c r="C413" s="33"/>
      <c r="D413" s="33"/>
      <c r="E413" s="33"/>
      <c r="F413" s="33"/>
      <c r="G413" s="33"/>
      <c r="H413" s="33"/>
      <c r="I413" s="33"/>
      <c r="J413" s="33"/>
      <c r="K413" s="33"/>
    </row>
    <row r="414">
      <c r="A414" s="33" t="str">
        <f>IFERROR(__xludf.DUMMYFUNCTION("""COMPUTED_VALUE"""),"Car Fund")</f>
        <v>Car Fund</v>
      </c>
      <c r="B414" s="33" t="str">
        <f>IFERROR(__xludf.DUMMYFUNCTION("""COMPUTED_VALUE"""),"Emergency Fund")</f>
        <v>Emergency Fund</v>
      </c>
      <c r="C414" s="33" t="str">
        <f>IFERROR(__xludf.DUMMYFUNCTION("""COMPUTED_VALUE"""),"Family Fund")</f>
        <v>Family Fund</v>
      </c>
      <c r="D414" s="33" t="str">
        <f>IFERROR(__xludf.DUMMYFUNCTION("""COMPUTED_VALUE"""),"Kenji Fund")</f>
        <v>Kenji Fund</v>
      </c>
      <c r="E414" s="33" t="str">
        <f>IFERROR(__xludf.DUMMYFUNCTION("""COMPUTED_VALUE"""),"Mei Fund")</f>
        <v>Mei Fund</v>
      </c>
      <c r="F414" s="33" t="str">
        <f>IFERROR(__xludf.DUMMYFUNCTION("""COMPUTED_VALUE"""),"Pet Fund")</f>
        <v>Pet Fund</v>
      </c>
      <c r="G414" s="33" t="str">
        <f>IFERROR(__xludf.DUMMYFUNCTION("""COMPUTED_VALUE"""),"Vacation Fund")</f>
        <v>Vacation Fund</v>
      </c>
      <c r="H414" s="33"/>
      <c r="I414" s="33"/>
      <c r="J414" s="33"/>
      <c r="K414" s="33"/>
    </row>
    <row r="415">
      <c r="A415" s="33" t="str">
        <f>IFERROR(__xludf.DUMMYFUNCTION("""COMPUTED_VALUE"""),"Deposit")</f>
        <v>Deposit</v>
      </c>
      <c r="B415" s="33" t="str">
        <f>IFERROR(__xludf.DUMMYFUNCTION("""COMPUTED_VALUE"""),"Withdrawal")</f>
        <v>Withdrawal</v>
      </c>
      <c r="C415" s="33"/>
      <c r="D415" s="33"/>
      <c r="E415" s="33"/>
      <c r="F415" s="33"/>
      <c r="G415" s="33"/>
      <c r="H415" s="33"/>
      <c r="I415" s="33"/>
      <c r="J415" s="33"/>
      <c r="K415" s="33"/>
    </row>
    <row r="416">
      <c r="A416" s="33" t="str">
        <f>IFERROR(__xludf.DUMMYFUNCTION("""COMPUTED_VALUE"""),"Debt")</f>
        <v>Debt</v>
      </c>
      <c r="B416" s="33" t="str">
        <f>IFERROR(__xludf.DUMMYFUNCTION("""COMPUTED_VALUE"""),"Groceries")</f>
        <v>Groceries</v>
      </c>
      <c r="C416" s="33" t="str">
        <f>IFERROR(__xludf.DUMMYFUNCTION("""COMPUTED_VALUE"""),"Healthcare")</f>
        <v>Healthcare</v>
      </c>
      <c r="D416" s="33" t="str">
        <f>IFERROR(__xludf.DUMMYFUNCTION("""COMPUTED_VALUE"""),"Household Items")</f>
        <v>Household Items</v>
      </c>
      <c r="E416" s="33" t="str">
        <f>IFERROR(__xludf.DUMMYFUNCTION("""COMPUTED_VALUE"""),"Housing")</f>
        <v>Housing</v>
      </c>
      <c r="F416" s="33" t="str">
        <f>IFERROR(__xludf.DUMMYFUNCTION("""COMPUTED_VALUE"""),"Miscellaneous")</f>
        <v>Miscellaneous</v>
      </c>
      <c r="G416" s="33" t="str">
        <f>IFERROR(__xludf.DUMMYFUNCTION("""COMPUTED_VALUE"""),"Pet")</f>
        <v>Pet</v>
      </c>
      <c r="H416" s="33" t="str">
        <f>IFERROR(__xludf.DUMMYFUNCTION("""COMPUTED_VALUE"""),"Transportation")</f>
        <v>Transportation</v>
      </c>
      <c r="I416" s="33"/>
      <c r="J416" s="33"/>
      <c r="K416" s="33"/>
    </row>
    <row r="417">
      <c r="A417" s="33" t="str">
        <f>IFERROR(__xludf.DUMMYFUNCTION("""COMPUTED_VALUE"""),"Dining Out")</f>
        <v>Dining Out</v>
      </c>
      <c r="B417" s="33" t="str">
        <f>IFERROR(__xludf.DUMMYFUNCTION("""COMPUTED_VALUE"""),"Entertainment")</f>
        <v>Entertainment</v>
      </c>
      <c r="C417" s="33" t="str">
        <f>IFERROR(__xludf.DUMMYFUNCTION("""COMPUTED_VALUE"""),"Gaming")</f>
        <v>Gaming</v>
      </c>
      <c r="D417" s="33" t="str">
        <f>IFERROR(__xludf.DUMMYFUNCTION("""COMPUTED_VALUE"""),"Gifts")</f>
        <v>Gifts</v>
      </c>
      <c r="E417" s="33" t="str">
        <f>IFERROR(__xludf.DUMMYFUNCTION("""COMPUTED_VALUE"""),"Groceries")</f>
        <v>Groceries</v>
      </c>
      <c r="F417" s="33" t="str">
        <f>IFERROR(__xludf.DUMMYFUNCTION("""COMPUTED_VALUE"""),"Healthcare")</f>
        <v>Healthcare</v>
      </c>
      <c r="G417" s="33" t="str">
        <f>IFERROR(__xludf.DUMMYFUNCTION("""COMPUTED_VALUE"""),"Hobbies")</f>
        <v>Hobbies</v>
      </c>
      <c r="H417" s="33" t="str">
        <f>IFERROR(__xludf.DUMMYFUNCTION("""COMPUTED_VALUE"""),"Household Items")</f>
        <v>Household Items</v>
      </c>
      <c r="I417" s="33" t="str">
        <f>IFERROR(__xludf.DUMMYFUNCTION("""COMPUTED_VALUE"""),"Subscriptions")</f>
        <v>Subscriptions</v>
      </c>
      <c r="J417" s="33" t="str">
        <f>IFERROR(__xludf.DUMMYFUNCTION("""COMPUTED_VALUE"""),"Transportation")</f>
        <v>Transportation</v>
      </c>
      <c r="K417" s="33" t="str">
        <f>IFERROR(__xludf.DUMMYFUNCTION("""COMPUTED_VALUE"""),"Travel")</f>
        <v>Travel</v>
      </c>
    </row>
    <row r="418">
      <c r="A418" s="33" t="str">
        <f>IFERROR(__xludf.DUMMYFUNCTION("""COMPUTED_VALUE"""),"Dining Out")</f>
        <v>Dining Out</v>
      </c>
      <c r="B418" s="33" t="str">
        <f>IFERROR(__xludf.DUMMYFUNCTION("""COMPUTED_VALUE"""),"Entertainment")</f>
        <v>Entertainment</v>
      </c>
      <c r="C418" s="33" t="str">
        <f>IFERROR(__xludf.DUMMYFUNCTION("""COMPUTED_VALUE"""),"Gaming")</f>
        <v>Gaming</v>
      </c>
      <c r="D418" s="33" t="str">
        <f>IFERROR(__xludf.DUMMYFUNCTION("""COMPUTED_VALUE"""),"Gifts")</f>
        <v>Gifts</v>
      </c>
      <c r="E418" s="33" t="str">
        <f>IFERROR(__xludf.DUMMYFUNCTION("""COMPUTED_VALUE"""),"Groceries")</f>
        <v>Groceries</v>
      </c>
      <c r="F418" s="33" t="str">
        <f>IFERROR(__xludf.DUMMYFUNCTION("""COMPUTED_VALUE"""),"Healthcare")</f>
        <v>Healthcare</v>
      </c>
      <c r="G418" s="33" t="str">
        <f>IFERROR(__xludf.DUMMYFUNCTION("""COMPUTED_VALUE"""),"Hobbies")</f>
        <v>Hobbies</v>
      </c>
      <c r="H418" s="33" t="str">
        <f>IFERROR(__xludf.DUMMYFUNCTION("""COMPUTED_VALUE"""),"Household Items")</f>
        <v>Household Items</v>
      </c>
      <c r="I418" s="33" t="str">
        <f>IFERROR(__xludf.DUMMYFUNCTION("""COMPUTED_VALUE"""),"Subscriptions")</f>
        <v>Subscriptions</v>
      </c>
      <c r="J418" s="33" t="str">
        <f>IFERROR(__xludf.DUMMYFUNCTION("""COMPUTED_VALUE"""),"Transportation")</f>
        <v>Transportation</v>
      </c>
      <c r="K418" s="33" t="str">
        <f>IFERROR(__xludf.DUMMYFUNCTION("""COMPUTED_VALUE"""),"Travel")</f>
        <v>Travel</v>
      </c>
    </row>
    <row r="419">
      <c r="A419" s="33" t="str">
        <f>IFERROR(__xludf.DUMMYFUNCTION("""COMPUTED_VALUE"""),"Debt")</f>
        <v>Debt</v>
      </c>
      <c r="B419" s="33" t="str">
        <f>IFERROR(__xludf.DUMMYFUNCTION("""COMPUTED_VALUE"""),"Groceries")</f>
        <v>Groceries</v>
      </c>
      <c r="C419" s="33" t="str">
        <f>IFERROR(__xludf.DUMMYFUNCTION("""COMPUTED_VALUE"""),"Healthcare")</f>
        <v>Healthcare</v>
      </c>
      <c r="D419" s="33" t="str">
        <f>IFERROR(__xludf.DUMMYFUNCTION("""COMPUTED_VALUE"""),"Household Items")</f>
        <v>Household Items</v>
      </c>
      <c r="E419" s="33" t="str">
        <f>IFERROR(__xludf.DUMMYFUNCTION("""COMPUTED_VALUE"""),"Housing")</f>
        <v>Housing</v>
      </c>
      <c r="F419" s="33" t="str">
        <f>IFERROR(__xludf.DUMMYFUNCTION("""COMPUTED_VALUE"""),"Miscellaneous")</f>
        <v>Miscellaneous</v>
      </c>
      <c r="G419" s="33" t="str">
        <f>IFERROR(__xludf.DUMMYFUNCTION("""COMPUTED_VALUE"""),"Pet")</f>
        <v>Pet</v>
      </c>
      <c r="H419" s="33" t="str">
        <f>IFERROR(__xludf.DUMMYFUNCTION("""COMPUTED_VALUE"""),"Transportation")</f>
        <v>Transportation</v>
      </c>
      <c r="I419" s="33"/>
      <c r="J419" s="33"/>
      <c r="K419" s="33"/>
    </row>
    <row r="420">
      <c r="A420" s="33" t="str">
        <f>IFERROR(__xludf.DUMMYFUNCTION("""COMPUTED_VALUE"""),"Debt")</f>
        <v>Debt</v>
      </c>
      <c r="B420" s="33" t="str">
        <f>IFERROR(__xludf.DUMMYFUNCTION("""COMPUTED_VALUE"""),"Groceries")</f>
        <v>Groceries</v>
      </c>
      <c r="C420" s="33" t="str">
        <f>IFERROR(__xludf.DUMMYFUNCTION("""COMPUTED_VALUE"""),"Healthcare")</f>
        <v>Healthcare</v>
      </c>
      <c r="D420" s="33" t="str">
        <f>IFERROR(__xludf.DUMMYFUNCTION("""COMPUTED_VALUE"""),"Household Items")</f>
        <v>Household Items</v>
      </c>
      <c r="E420" s="33" t="str">
        <f>IFERROR(__xludf.DUMMYFUNCTION("""COMPUTED_VALUE"""),"Housing")</f>
        <v>Housing</v>
      </c>
      <c r="F420" s="33" t="str">
        <f>IFERROR(__xludf.DUMMYFUNCTION("""COMPUTED_VALUE"""),"Miscellaneous")</f>
        <v>Miscellaneous</v>
      </c>
      <c r="G420" s="33" t="str">
        <f>IFERROR(__xludf.DUMMYFUNCTION("""COMPUTED_VALUE"""),"Pet")</f>
        <v>Pet</v>
      </c>
      <c r="H420" s="33" t="str">
        <f>IFERROR(__xludf.DUMMYFUNCTION("""COMPUTED_VALUE"""),"Transportation")</f>
        <v>Transportation</v>
      </c>
      <c r="I420" s="33"/>
      <c r="J420" s="33"/>
      <c r="K420" s="33"/>
    </row>
    <row r="421">
      <c r="A421" s="33" t="str">
        <f>IFERROR(__xludf.DUMMYFUNCTION("""COMPUTED_VALUE"""),"Debt")</f>
        <v>Debt</v>
      </c>
      <c r="B421" s="33" t="str">
        <f>IFERROR(__xludf.DUMMYFUNCTION("""COMPUTED_VALUE"""),"Groceries")</f>
        <v>Groceries</v>
      </c>
      <c r="C421" s="33" t="str">
        <f>IFERROR(__xludf.DUMMYFUNCTION("""COMPUTED_VALUE"""),"Healthcare")</f>
        <v>Healthcare</v>
      </c>
      <c r="D421" s="33" t="str">
        <f>IFERROR(__xludf.DUMMYFUNCTION("""COMPUTED_VALUE"""),"Household Items")</f>
        <v>Household Items</v>
      </c>
      <c r="E421" s="33" t="str">
        <f>IFERROR(__xludf.DUMMYFUNCTION("""COMPUTED_VALUE"""),"Housing")</f>
        <v>Housing</v>
      </c>
      <c r="F421" s="33" t="str">
        <f>IFERROR(__xludf.DUMMYFUNCTION("""COMPUTED_VALUE"""),"Miscellaneous")</f>
        <v>Miscellaneous</v>
      </c>
      <c r="G421" s="33" t="str">
        <f>IFERROR(__xludf.DUMMYFUNCTION("""COMPUTED_VALUE"""),"Pet")</f>
        <v>Pet</v>
      </c>
      <c r="H421" s="33" t="str">
        <f>IFERROR(__xludf.DUMMYFUNCTION("""COMPUTED_VALUE"""),"Transportation")</f>
        <v>Transportation</v>
      </c>
      <c r="I421" s="33"/>
      <c r="J421" s="33"/>
      <c r="K421" s="33"/>
    </row>
    <row r="422">
      <c r="A422" s="33" t="str">
        <f>IFERROR(__xludf.DUMMYFUNCTION("""COMPUTED_VALUE"""),"Cashback")</f>
        <v>Cashback</v>
      </c>
      <c r="B422" s="33" t="str">
        <f>IFERROR(__xludf.DUMMYFUNCTION("""COMPUTED_VALUE"""),"Investment Returns")</f>
        <v>Investment Returns</v>
      </c>
      <c r="C422" s="33" t="str">
        <f>IFERROR(__xludf.DUMMYFUNCTION("""COMPUTED_VALUE"""),"Paycheck")</f>
        <v>Paycheck</v>
      </c>
      <c r="D422" s="33" t="str">
        <f>IFERROR(__xludf.DUMMYFUNCTION("""COMPUTED_VALUE"""),"Reimbursement")</f>
        <v>Reimbursement</v>
      </c>
      <c r="E422" s="33" t="str">
        <f>IFERROR(__xludf.DUMMYFUNCTION("""COMPUTED_VALUE"""),"Rewards")</f>
        <v>Rewards</v>
      </c>
      <c r="F422" s="33"/>
      <c r="G422" s="33"/>
      <c r="H422" s="33"/>
      <c r="I422" s="33"/>
      <c r="J422" s="33"/>
      <c r="K422" s="33"/>
    </row>
    <row r="423">
      <c r="A423" s="33" t="str">
        <f>IFERROR(__xludf.DUMMYFUNCTION("""COMPUTED_VALUE"""),"Dining Out")</f>
        <v>Dining Out</v>
      </c>
      <c r="B423" s="33" t="str">
        <f>IFERROR(__xludf.DUMMYFUNCTION("""COMPUTED_VALUE"""),"Entertainment")</f>
        <v>Entertainment</v>
      </c>
      <c r="C423" s="33" t="str">
        <f>IFERROR(__xludf.DUMMYFUNCTION("""COMPUTED_VALUE"""),"Gaming")</f>
        <v>Gaming</v>
      </c>
      <c r="D423" s="33" t="str">
        <f>IFERROR(__xludf.DUMMYFUNCTION("""COMPUTED_VALUE"""),"Gifts")</f>
        <v>Gifts</v>
      </c>
      <c r="E423" s="33" t="str">
        <f>IFERROR(__xludf.DUMMYFUNCTION("""COMPUTED_VALUE"""),"Groceries")</f>
        <v>Groceries</v>
      </c>
      <c r="F423" s="33" t="str">
        <f>IFERROR(__xludf.DUMMYFUNCTION("""COMPUTED_VALUE"""),"Healthcare")</f>
        <v>Healthcare</v>
      </c>
      <c r="G423" s="33" t="str">
        <f>IFERROR(__xludf.DUMMYFUNCTION("""COMPUTED_VALUE"""),"Hobbies")</f>
        <v>Hobbies</v>
      </c>
      <c r="H423" s="33" t="str">
        <f>IFERROR(__xludf.DUMMYFUNCTION("""COMPUTED_VALUE"""),"Household Items")</f>
        <v>Household Items</v>
      </c>
      <c r="I423" s="33" t="str">
        <f>IFERROR(__xludf.DUMMYFUNCTION("""COMPUTED_VALUE"""),"Subscriptions")</f>
        <v>Subscriptions</v>
      </c>
      <c r="J423" s="33" t="str">
        <f>IFERROR(__xludf.DUMMYFUNCTION("""COMPUTED_VALUE"""),"Transportation")</f>
        <v>Transportation</v>
      </c>
      <c r="K423" s="33" t="str">
        <f>IFERROR(__xludf.DUMMYFUNCTION("""COMPUTED_VALUE"""),"Travel")</f>
        <v>Travel</v>
      </c>
    </row>
    <row r="424">
      <c r="A424" s="33" t="str">
        <f>IFERROR(__xludf.DUMMYFUNCTION("""COMPUTED_VALUE"""),"Debt")</f>
        <v>Debt</v>
      </c>
      <c r="B424" s="33" t="str">
        <f>IFERROR(__xludf.DUMMYFUNCTION("""COMPUTED_VALUE"""),"Groceries")</f>
        <v>Groceries</v>
      </c>
      <c r="C424" s="33" t="str">
        <f>IFERROR(__xludf.DUMMYFUNCTION("""COMPUTED_VALUE"""),"Healthcare")</f>
        <v>Healthcare</v>
      </c>
      <c r="D424" s="33" t="str">
        <f>IFERROR(__xludf.DUMMYFUNCTION("""COMPUTED_VALUE"""),"Household Items")</f>
        <v>Household Items</v>
      </c>
      <c r="E424" s="33" t="str">
        <f>IFERROR(__xludf.DUMMYFUNCTION("""COMPUTED_VALUE"""),"Housing")</f>
        <v>Housing</v>
      </c>
      <c r="F424" s="33" t="str">
        <f>IFERROR(__xludf.DUMMYFUNCTION("""COMPUTED_VALUE"""),"Miscellaneous")</f>
        <v>Miscellaneous</v>
      </c>
      <c r="G424" s="33" t="str">
        <f>IFERROR(__xludf.DUMMYFUNCTION("""COMPUTED_VALUE"""),"Pet")</f>
        <v>Pet</v>
      </c>
      <c r="H424" s="33" t="str">
        <f>IFERROR(__xludf.DUMMYFUNCTION("""COMPUTED_VALUE"""),"Transportation")</f>
        <v>Transportation</v>
      </c>
      <c r="I424" s="33"/>
      <c r="J424" s="33"/>
      <c r="K424" s="33"/>
    </row>
    <row r="425">
      <c r="A425" s="33" t="str">
        <f>IFERROR(__xludf.DUMMYFUNCTION("""COMPUTED_VALUE"""),"Debt")</f>
        <v>Debt</v>
      </c>
      <c r="B425" s="33" t="str">
        <f>IFERROR(__xludf.DUMMYFUNCTION("""COMPUTED_VALUE"""),"Groceries")</f>
        <v>Groceries</v>
      </c>
      <c r="C425" s="33" t="str">
        <f>IFERROR(__xludf.DUMMYFUNCTION("""COMPUTED_VALUE"""),"Healthcare")</f>
        <v>Healthcare</v>
      </c>
      <c r="D425" s="33" t="str">
        <f>IFERROR(__xludf.DUMMYFUNCTION("""COMPUTED_VALUE"""),"Household Items")</f>
        <v>Household Items</v>
      </c>
      <c r="E425" s="33" t="str">
        <f>IFERROR(__xludf.DUMMYFUNCTION("""COMPUTED_VALUE"""),"Housing")</f>
        <v>Housing</v>
      </c>
      <c r="F425" s="33" t="str">
        <f>IFERROR(__xludf.DUMMYFUNCTION("""COMPUTED_VALUE"""),"Miscellaneous")</f>
        <v>Miscellaneous</v>
      </c>
      <c r="G425" s="33" t="str">
        <f>IFERROR(__xludf.DUMMYFUNCTION("""COMPUTED_VALUE"""),"Pet")</f>
        <v>Pet</v>
      </c>
      <c r="H425" s="33" t="str">
        <f>IFERROR(__xludf.DUMMYFUNCTION("""COMPUTED_VALUE"""),"Transportation")</f>
        <v>Transportation</v>
      </c>
      <c r="I425" s="33"/>
      <c r="J425" s="33"/>
      <c r="K425" s="33"/>
    </row>
    <row r="426">
      <c r="A426" s="33" t="str">
        <f>IFERROR(__xludf.DUMMYFUNCTION("""COMPUTED_VALUE"""),"Debt")</f>
        <v>Debt</v>
      </c>
      <c r="B426" s="33" t="str">
        <f>IFERROR(__xludf.DUMMYFUNCTION("""COMPUTED_VALUE"""),"Groceries")</f>
        <v>Groceries</v>
      </c>
      <c r="C426" s="33" t="str">
        <f>IFERROR(__xludf.DUMMYFUNCTION("""COMPUTED_VALUE"""),"Healthcare")</f>
        <v>Healthcare</v>
      </c>
      <c r="D426" s="33" t="str">
        <f>IFERROR(__xludf.DUMMYFUNCTION("""COMPUTED_VALUE"""),"Household Items")</f>
        <v>Household Items</v>
      </c>
      <c r="E426" s="33" t="str">
        <f>IFERROR(__xludf.DUMMYFUNCTION("""COMPUTED_VALUE"""),"Housing")</f>
        <v>Housing</v>
      </c>
      <c r="F426" s="33" t="str">
        <f>IFERROR(__xludf.DUMMYFUNCTION("""COMPUTED_VALUE"""),"Miscellaneous")</f>
        <v>Miscellaneous</v>
      </c>
      <c r="G426" s="33" t="str">
        <f>IFERROR(__xludf.DUMMYFUNCTION("""COMPUTED_VALUE"""),"Pet")</f>
        <v>Pet</v>
      </c>
      <c r="H426" s="33" t="str">
        <f>IFERROR(__xludf.DUMMYFUNCTION("""COMPUTED_VALUE"""),"Transportation")</f>
        <v>Transportation</v>
      </c>
      <c r="I426" s="33"/>
      <c r="J426" s="33"/>
      <c r="K426" s="33"/>
    </row>
    <row r="427">
      <c r="A427" s="33" t="str">
        <f>IFERROR(__xludf.DUMMYFUNCTION("""COMPUTED_VALUE"""),"Debt")</f>
        <v>Debt</v>
      </c>
      <c r="B427" s="33" t="str">
        <f>IFERROR(__xludf.DUMMYFUNCTION("""COMPUTED_VALUE"""),"Groceries")</f>
        <v>Groceries</v>
      </c>
      <c r="C427" s="33" t="str">
        <f>IFERROR(__xludf.DUMMYFUNCTION("""COMPUTED_VALUE"""),"Healthcare")</f>
        <v>Healthcare</v>
      </c>
      <c r="D427" s="33" t="str">
        <f>IFERROR(__xludf.DUMMYFUNCTION("""COMPUTED_VALUE"""),"Household Items")</f>
        <v>Household Items</v>
      </c>
      <c r="E427" s="33" t="str">
        <f>IFERROR(__xludf.DUMMYFUNCTION("""COMPUTED_VALUE"""),"Housing")</f>
        <v>Housing</v>
      </c>
      <c r="F427" s="33" t="str">
        <f>IFERROR(__xludf.DUMMYFUNCTION("""COMPUTED_VALUE"""),"Miscellaneous")</f>
        <v>Miscellaneous</v>
      </c>
      <c r="G427" s="33" t="str">
        <f>IFERROR(__xludf.DUMMYFUNCTION("""COMPUTED_VALUE"""),"Pet")</f>
        <v>Pet</v>
      </c>
      <c r="H427" s="33" t="str">
        <f>IFERROR(__xludf.DUMMYFUNCTION("""COMPUTED_VALUE"""),"Transportation")</f>
        <v>Transportation</v>
      </c>
      <c r="I427" s="33"/>
      <c r="J427" s="33"/>
      <c r="K427" s="33"/>
    </row>
    <row r="428">
      <c r="A428" s="33" t="str">
        <f>IFERROR(__xludf.DUMMYFUNCTION("""COMPUTED_VALUE"""),"Debt")</f>
        <v>Debt</v>
      </c>
      <c r="B428" s="33" t="str">
        <f>IFERROR(__xludf.DUMMYFUNCTION("""COMPUTED_VALUE"""),"Groceries")</f>
        <v>Groceries</v>
      </c>
      <c r="C428" s="33" t="str">
        <f>IFERROR(__xludf.DUMMYFUNCTION("""COMPUTED_VALUE"""),"Healthcare")</f>
        <v>Healthcare</v>
      </c>
      <c r="D428" s="33" t="str">
        <f>IFERROR(__xludf.DUMMYFUNCTION("""COMPUTED_VALUE"""),"Household Items")</f>
        <v>Household Items</v>
      </c>
      <c r="E428" s="33" t="str">
        <f>IFERROR(__xludf.DUMMYFUNCTION("""COMPUTED_VALUE"""),"Housing")</f>
        <v>Housing</v>
      </c>
      <c r="F428" s="33" t="str">
        <f>IFERROR(__xludf.DUMMYFUNCTION("""COMPUTED_VALUE"""),"Miscellaneous")</f>
        <v>Miscellaneous</v>
      </c>
      <c r="G428" s="33" t="str">
        <f>IFERROR(__xludf.DUMMYFUNCTION("""COMPUTED_VALUE"""),"Pet")</f>
        <v>Pet</v>
      </c>
      <c r="H428" s="33" t="str">
        <f>IFERROR(__xludf.DUMMYFUNCTION("""COMPUTED_VALUE"""),"Transportation")</f>
        <v>Transportation</v>
      </c>
      <c r="I428" s="33"/>
      <c r="J428" s="33"/>
      <c r="K428" s="33"/>
    </row>
    <row r="429">
      <c r="A429" s="33" t="str">
        <f>IFERROR(__xludf.DUMMYFUNCTION("""COMPUTED_VALUE"""),"Debt")</f>
        <v>Debt</v>
      </c>
      <c r="B429" s="33" t="str">
        <f>IFERROR(__xludf.DUMMYFUNCTION("""COMPUTED_VALUE"""),"Groceries")</f>
        <v>Groceries</v>
      </c>
      <c r="C429" s="33" t="str">
        <f>IFERROR(__xludf.DUMMYFUNCTION("""COMPUTED_VALUE"""),"Healthcare")</f>
        <v>Healthcare</v>
      </c>
      <c r="D429" s="33" t="str">
        <f>IFERROR(__xludf.DUMMYFUNCTION("""COMPUTED_VALUE"""),"Household Items")</f>
        <v>Household Items</v>
      </c>
      <c r="E429" s="33" t="str">
        <f>IFERROR(__xludf.DUMMYFUNCTION("""COMPUTED_VALUE"""),"Housing")</f>
        <v>Housing</v>
      </c>
      <c r="F429" s="33" t="str">
        <f>IFERROR(__xludf.DUMMYFUNCTION("""COMPUTED_VALUE"""),"Miscellaneous")</f>
        <v>Miscellaneous</v>
      </c>
      <c r="G429" s="33" t="str">
        <f>IFERROR(__xludf.DUMMYFUNCTION("""COMPUTED_VALUE"""),"Pet")</f>
        <v>Pet</v>
      </c>
      <c r="H429" s="33" t="str">
        <f>IFERROR(__xludf.DUMMYFUNCTION("""COMPUTED_VALUE"""),"Transportation")</f>
        <v>Transportation</v>
      </c>
      <c r="I429" s="33"/>
      <c r="J429" s="33"/>
      <c r="K429" s="33"/>
    </row>
    <row r="430">
      <c r="A430" s="33" t="str">
        <f>IFERROR(__xludf.DUMMYFUNCTION("""COMPUTED_VALUE"""),"Debt")</f>
        <v>Debt</v>
      </c>
      <c r="B430" s="33" t="str">
        <f>IFERROR(__xludf.DUMMYFUNCTION("""COMPUTED_VALUE"""),"Groceries")</f>
        <v>Groceries</v>
      </c>
      <c r="C430" s="33" t="str">
        <f>IFERROR(__xludf.DUMMYFUNCTION("""COMPUTED_VALUE"""),"Healthcare")</f>
        <v>Healthcare</v>
      </c>
      <c r="D430" s="33" t="str">
        <f>IFERROR(__xludf.DUMMYFUNCTION("""COMPUTED_VALUE"""),"Household Items")</f>
        <v>Household Items</v>
      </c>
      <c r="E430" s="33" t="str">
        <f>IFERROR(__xludf.DUMMYFUNCTION("""COMPUTED_VALUE"""),"Housing")</f>
        <v>Housing</v>
      </c>
      <c r="F430" s="33" t="str">
        <f>IFERROR(__xludf.DUMMYFUNCTION("""COMPUTED_VALUE"""),"Miscellaneous")</f>
        <v>Miscellaneous</v>
      </c>
      <c r="G430" s="33" t="str">
        <f>IFERROR(__xludf.DUMMYFUNCTION("""COMPUTED_VALUE"""),"Pet")</f>
        <v>Pet</v>
      </c>
      <c r="H430" s="33" t="str">
        <f>IFERROR(__xludf.DUMMYFUNCTION("""COMPUTED_VALUE"""),"Transportation")</f>
        <v>Transportation</v>
      </c>
      <c r="I430" s="33"/>
      <c r="J430" s="33"/>
      <c r="K430" s="33"/>
    </row>
    <row r="431">
      <c r="A431" s="33" t="str">
        <f>IFERROR(__xludf.DUMMYFUNCTION("""COMPUTED_VALUE"""),"Debt")</f>
        <v>Debt</v>
      </c>
      <c r="B431" s="33" t="str">
        <f>IFERROR(__xludf.DUMMYFUNCTION("""COMPUTED_VALUE"""),"Groceries")</f>
        <v>Groceries</v>
      </c>
      <c r="C431" s="33" t="str">
        <f>IFERROR(__xludf.DUMMYFUNCTION("""COMPUTED_VALUE"""),"Healthcare")</f>
        <v>Healthcare</v>
      </c>
      <c r="D431" s="33" t="str">
        <f>IFERROR(__xludf.DUMMYFUNCTION("""COMPUTED_VALUE"""),"Household Items")</f>
        <v>Household Items</v>
      </c>
      <c r="E431" s="33" t="str">
        <f>IFERROR(__xludf.DUMMYFUNCTION("""COMPUTED_VALUE"""),"Housing")</f>
        <v>Housing</v>
      </c>
      <c r="F431" s="33" t="str">
        <f>IFERROR(__xludf.DUMMYFUNCTION("""COMPUTED_VALUE"""),"Miscellaneous")</f>
        <v>Miscellaneous</v>
      </c>
      <c r="G431" s="33" t="str">
        <f>IFERROR(__xludf.DUMMYFUNCTION("""COMPUTED_VALUE"""),"Pet")</f>
        <v>Pet</v>
      </c>
      <c r="H431" s="33" t="str">
        <f>IFERROR(__xludf.DUMMYFUNCTION("""COMPUTED_VALUE"""),"Transportation")</f>
        <v>Transportation</v>
      </c>
      <c r="I431" s="33"/>
      <c r="J431" s="33"/>
      <c r="K431" s="33"/>
    </row>
    <row r="432">
      <c r="A432" s="33" t="str">
        <f>IFERROR(__xludf.DUMMYFUNCTION("""COMPUTED_VALUE"""),"Debt")</f>
        <v>Debt</v>
      </c>
      <c r="B432" s="33" t="str">
        <f>IFERROR(__xludf.DUMMYFUNCTION("""COMPUTED_VALUE"""),"Groceries")</f>
        <v>Groceries</v>
      </c>
      <c r="C432" s="33" t="str">
        <f>IFERROR(__xludf.DUMMYFUNCTION("""COMPUTED_VALUE"""),"Healthcare")</f>
        <v>Healthcare</v>
      </c>
      <c r="D432" s="33" t="str">
        <f>IFERROR(__xludf.DUMMYFUNCTION("""COMPUTED_VALUE"""),"Household Items")</f>
        <v>Household Items</v>
      </c>
      <c r="E432" s="33" t="str">
        <f>IFERROR(__xludf.DUMMYFUNCTION("""COMPUTED_VALUE"""),"Housing")</f>
        <v>Housing</v>
      </c>
      <c r="F432" s="33" t="str">
        <f>IFERROR(__xludf.DUMMYFUNCTION("""COMPUTED_VALUE"""),"Miscellaneous")</f>
        <v>Miscellaneous</v>
      </c>
      <c r="G432" s="33" t="str">
        <f>IFERROR(__xludf.DUMMYFUNCTION("""COMPUTED_VALUE"""),"Pet")</f>
        <v>Pet</v>
      </c>
      <c r="H432" s="33" t="str">
        <f>IFERROR(__xludf.DUMMYFUNCTION("""COMPUTED_VALUE"""),"Transportation")</f>
        <v>Transportation</v>
      </c>
      <c r="I432" s="33"/>
      <c r="J432" s="33"/>
      <c r="K432" s="33"/>
    </row>
    <row r="433">
      <c r="A433" s="33" t="str">
        <f>IFERROR(__xludf.DUMMYFUNCTION("""COMPUTED_VALUE"""),"Debt")</f>
        <v>Debt</v>
      </c>
      <c r="B433" s="33" t="str">
        <f>IFERROR(__xludf.DUMMYFUNCTION("""COMPUTED_VALUE"""),"Groceries")</f>
        <v>Groceries</v>
      </c>
      <c r="C433" s="33" t="str">
        <f>IFERROR(__xludf.DUMMYFUNCTION("""COMPUTED_VALUE"""),"Healthcare")</f>
        <v>Healthcare</v>
      </c>
      <c r="D433" s="33" t="str">
        <f>IFERROR(__xludf.DUMMYFUNCTION("""COMPUTED_VALUE"""),"Household Items")</f>
        <v>Household Items</v>
      </c>
      <c r="E433" s="33" t="str">
        <f>IFERROR(__xludf.DUMMYFUNCTION("""COMPUTED_VALUE"""),"Housing")</f>
        <v>Housing</v>
      </c>
      <c r="F433" s="33" t="str">
        <f>IFERROR(__xludf.DUMMYFUNCTION("""COMPUTED_VALUE"""),"Miscellaneous")</f>
        <v>Miscellaneous</v>
      </c>
      <c r="G433" s="33" t="str">
        <f>IFERROR(__xludf.DUMMYFUNCTION("""COMPUTED_VALUE"""),"Pet")</f>
        <v>Pet</v>
      </c>
      <c r="H433" s="33" t="str">
        <f>IFERROR(__xludf.DUMMYFUNCTION("""COMPUTED_VALUE"""),"Transportation")</f>
        <v>Transportation</v>
      </c>
      <c r="I433" s="33"/>
      <c r="J433" s="33"/>
      <c r="K433" s="33"/>
    </row>
    <row r="434">
      <c r="A434" s="33" t="str">
        <f>IFERROR(__xludf.DUMMYFUNCTION("""COMPUTED_VALUE"""),"Clothing")</f>
        <v>Clothing</v>
      </c>
      <c r="B434" s="33" t="str">
        <f>IFERROR(__xludf.DUMMYFUNCTION("""COMPUTED_VALUE"""),"Gifts")</f>
        <v>Gifts</v>
      </c>
      <c r="C434" s="33" t="str">
        <f>IFERROR(__xludf.DUMMYFUNCTION("""COMPUTED_VALUE"""),"Healthcare")</f>
        <v>Healthcare</v>
      </c>
      <c r="D434" s="33" t="str">
        <f>IFERROR(__xludf.DUMMYFUNCTION("""COMPUTED_VALUE"""),"Hobbies")</f>
        <v>Hobbies</v>
      </c>
      <c r="E434" s="33" t="str">
        <f>IFERROR(__xludf.DUMMYFUNCTION("""COMPUTED_VALUE"""),"Organization")</f>
        <v>Organization</v>
      </c>
      <c r="F434" s="33"/>
      <c r="G434" s="33"/>
      <c r="H434" s="33"/>
      <c r="I434" s="33"/>
      <c r="J434" s="33"/>
      <c r="K434" s="33"/>
    </row>
    <row r="435">
      <c r="A435" s="33" t="str">
        <f>IFERROR(__xludf.DUMMYFUNCTION("""COMPUTED_VALUE"""),"Debt")</f>
        <v>Debt</v>
      </c>
      <c r="B435" s="33" t="str">
        <f>IFERROR(__xludf.DUMMYFUNCTION("""COMPUTED_VALUE"""),"Groceries")</f>
        <v>Groceries</v>
      </c>
      <c r="C435" s="33" t="str">
        <f>IFERROR(__xludf.DUMMYFUNCTION("""COMPUTED_VALUE"""),"Healthcare")</f>
        <v>Healthcare</v>
      </c>
      <c r="D435" s="33" t="str">
        <f>IFERROR(__xludf.DUMMYFUNCTION("""COMPUTED_VALUE"""),"Household Items")</f>
        <v>Household Items</v>
      </c>
      <c r="E435" s="33" t="str">
        <f>IFERROR(__xludf.DUMMYFUNCTION("""COMPUTED_VALUE"""),"Housing")</f>
        <v>Housing</v>
      </c>
      <c r="F435" s="33" t="str">
        <f>IFERROR(__xludf.DUMMYFUNCTION("""COMPUTED_VALUE"""),"Miscellaneous")</f>
        <v>Miscellaneous</v>
      </c>
      <c r="G435" s="33" t="str">
        <f>IFERROR(__xludf.DUMMYFUNCTION("""COMPUTED_VALUE"""),"Pet")</f>
        <v>Pet</v>
      </c>
      <c r="H435" s="33" t="str">
        <f>IFERROR(__xludf.DUMMYFUNCTION("""COMPUTED_VALUE"""),"Transportation")</f>
        <v>Transportation</v>
      </c>
      <c r="I435" s="33"/>
      <c r="J435" s="33"/>
      <c r="K435" s="33"/>
    </row>
    <row r="436">
      <c r="A436" s="33" t="str">
        <f>IFERROR(__xludf.DUMMYFUNCTION("""COMPUTED_VALUE"""),"Deposit")</f>
        <v>Deposit</v>
      </c>
      <c r="B436" s="33" t="str">
        <f>IFERROR(__xludf.DUMMYFUNCTION("""COMPUTED_VALUE"""),"Withdrawal")</f>
        <v>Withdrawal</v>
      </c>
      <c r="C436" s="33"/>
      <c r="D436" s="33"/>
      <c r="E436" s="33"/>
      <c r="F436" s="33"/>
      <c r="G436" s="33"/>
      <c r="H436" s="33"/>
      <c r="I436" s="33"/>
      <c r="J436" s="33"/>
      <c r="K436" s="33"/>
    </row>
    <row r="437">
      <c r="A437" s="33" t="str">
        <f>IFERROR(__xludf.DUMMYFUNCTION("""COMPUTED_VALUE"""),"Deposit")</f>
        <v>Deposit</v>
      </c>
      <c r="B437" s="33" t="str">
        <f>IFERROR(__xludf.DUMMYFUNCTION("""COMPUTED_VALUE"""),"Withdrawal")</f>
        <v>Withdrawal</v>
      </c>
      <c r="C437" s="33"/>
      <c r="D437" s="33"/>
      <c r="E437" s="33"/>
      <c r="F437" s="33"/>
      <c r="G437" s="33"/>
      <c r="H437" s="33"/>
      <c r="I437" s="33"/>
      <c r="J437" s="33"/>
      <c r="K437" s="33"/>
    </row>
    <row r="438">
      <c r="A438" s="33" t="str">
        <f>IFERROR(__xludf.DUMMYFUNCTION("""COMPUTED_VALUE"""),"Debt")</f>
        <v>Debt</v>
      </c>
      <c r="B438" s="33" t="str">
        <f>IFERROR(__xludf.DUMMYFUNCTION("""COMPUTED_VALUE"""),"Groceries")</f>
        <v>Groceries</v>
      </c>
      <c r="C438" s="33" t="str">
        <f>IFERROR(__xludf.DUMMYFUNCTION("""COMPUTED_VALUE"""),"Healthcare")</f>
        <v>Healthcare</v>
      </c>
      <c r="D438" s="33" t="str">
        <f>IFERROR(__xludf.DUMMYFUNCTION("""COMPUTED_VALUE"""),"Household Items")</f>
        <v>Household Items</v>
      </c>
      <c r="E438" s="33" t="str">
        <f>IFERROR(__xludf.DUMMYFUNCTION("""COMPUTED_VALUE"""),"Housing")</f>
        <v>Housing</v>
      </c>
      <c r="F438" s="33" t="str">
        <f>IFERROR(__xludf.DUMMYFUNCTION("""COMPUTED_VALUE"""),"Miscellaneous")</f>
        <v>Miscellaneous</v>
      </c>
      <c r="G438" s="33" t="str">
        <f>IFERROR(__xludf.DUMMYFUNCTION("""COMPUTED_VALUE"""),"Pet")</f>
        <v>Pet</v>
      </c>
      <c r="H438" s="33" t="str">
        <f>IFERROR(__xludf.DUMMYFUNCTION("""COMPUTED_VALUE"""),"Transportation")</f>
        <v>Transportation</v>
      </c>
      <c r="I438" s="33"/>
      <c r="J438" s="33"/>
      <c r="K438" s="33"/>
    </row>
    <row r="439">
      <c r="A439" s="33" t="str">
        <f>IFERROR(__xludf.DUMMYFUNCTION("""COMPUTED_VALUE"""),"Debt")</f>
        <v>Debt</v>
      </c>
      <c r="B439" s="33" t="str">
        <f>IFERROR(__xludf.DUMMYFUNCTION("""COMPUTED_VALUE"""),"Groceries")</f>
        <v>Groceries</v>
      </c>
      <c r="C439" s="33" t="str">
        <f>IFERROR(__xludf.DUMMYFUNCTION("""COMPUTED_VALUE"""),"Healthcare")</f>
        <v>Healthcare</v>
      </c>
      <c r="D439" s="33" t="str">
        <f>IFERROR(__xludf.DUMMYFUNCTION("""COMPUTED_VALUE"""),"Household Items")</f>
        <v>Household Items</v>
      </c>
      <c r="E439" s="33" t="str">
        <f>IFERROR(__xludf.DUMMYFUNCTION("""COMPUTED_VALUE"""),"Housing")</f>
        <v>Housing</v>
      </c>
      <c r="F439" s="33" t="str">
        <f>IFERROR(__xludf.DUMMYFUNCTION("""COMPUTED_VALUE"""),"Miscellaneous")</f>
        <v>Miscellaneous</v>
      </c>
      <c r="G439" s="33" t="str">
        <f>IFERROR(__xludf.DUMMYFUNCTION("""COMPUTED_VALUE"""),"Pet")</f>
        <v>Pet</v>
      </c>
      <c r="H439" s="33" t="str">
        <f>IFERROR(__xludf.DUMMYFUNCTION("""COMPUTED_VALUE"""),"Transportation")</f>
        <v>Transportation</v>
      </c>
      <c r="I439" s="33"/>
      <c r="J439" s="33"/>
      <c r="K439" s="33"/>
    </row>
    <row r="440">
      <c r="A440" s="33" t="str">
        <f>IFERROR(__xludf.DUMMYFUNCTION("""COMPUTED_VALUE"""),"Debt")</f>
        <v>Debt</v>
      </c>
      <c r="B440" s="33" t="str">
        <f>IFERROR(__xludf.DUMMYFUNCTION("""COMPUTED_VALUE"""),"Groceries")</f>
        <v>Groceries</v>
      </c>
      <c r="C440" s="33" t="str">
        <f>IFERROR(__xludf.DUMMYFUNCTION("""COMPUTED_VALUE"""),"Healthcare")</f>
        <v>Healthcare</v>
      </c>
      <c r="D440" s="33" t="str">
        <f>IFERROR(__xludf.DUMMYFUNCTION("""COMPUTED_VALUE"""),"Household Items")</f>
        <v>Household Items</v>
      </c>
      <c r="E440" s="33" t="str">
        <f>IFERROR(__xludf.DUMMYFUNCTION("""COMPUTED_VALUE"""),"Housing")</f>
        <v>Housing</v>
      </c>
      <c r="F440" s="33" t="str">
        <f>IFERROR(__xludf.DUMMYFUNCTION("""COMPUTED_VALUE"""),"Miscellaneous")</f>
        <v>Miscellaneous</v>
      </c>
      <c r="G440" s="33" t="str">
        <f>IFERROR(__xludf.DUMMYFUNCTION("""COMPUTED_VALUE"""),"Pet")</f>
        <v>Pet</v>
      </c>
      <c r="H440" s="33" t="str">
        <f>IFERROR(__xludf.DUMMYFUNCTION("""COMPUTED_VALUE"""),"Transportation")</f>
        <v>Transportation</v>
      </c>
      <c r="I440" s="33"/>
      <c r="J440" s="33"/>
      <c r="K440" s="33"/>
    </row>
    <row r="441">
      <c r="A441" s="33" t="str">
        <f>IFERROR(__xludf.DUMMYFUNCTION("""COMPUTED_VALUE"""),"Debt")</f>
        <v>Debt</v>
      </c>
      <c r="B441" s="33" t="str">
        <f>IFERROR(__xludf.DUMMYFUNCTION("""COMPUTED_VALUE"""),"Groceries")</f>
        <v>Groceries</v>
      </c>
      <c r="C441" s="33" t="str">
        <f>IFERROR(__xludf.DUMMYFUNCTION("""COMPUTED_VALUE"""),"Healthcare")</f>
        <v>Healthcare</v>
      </c>
      <c r="D441" s="33" t="str">
        <f>IFERROR(__xludf.DUMMYFUNCTION("""COMPUTED_VALUE"""),"Household Items")</f>
        <v>Household Items</v>
      </c>
      <c r="E441" s="33" t="str">
        <f>IFERROR(__xludf.DUMMYFUNCTION("""COMPUTED_VALUE"""),"Housing")</f>
        <v>Housing</v>
      </c>
      <c r="F441" s="33" t="str">
        <f>IFERROR(__xludf.DUMMYFUNCTION("""COMPUTED_VALUE"""),"Miscellaneous")</f>
        <v>Miscellaneous</v>
      </c>
      <c r="G441" s="33" t="str">
        <f>IFERROR(__xludf.DUMMYFUNCTION("""COMPUTED_VALUE"""),"Pet")</f>
        <v>Pet</v>
      </c>
      <c r="H441" s="33" t="str">
        <f>IFERROR(__xludf.DUMMYFUNCTION("""COMPUTED_VALUE"""),"Transportation")</f>
        <v>Transportation</v>
      </c>
      <c r="I441" s="33"/>
      <c r="J441" s="33"/>
      <c r="K441" s="33"/>
    </row>
    <row r="442">
      <c r="A442" s="33" t="str">
        <f>IFERROR(__xludf.DUMMYFUNCTION("""COMPUTED_VALUE"""),"Debt")</f>
        <v>Debt</v>
      </c>
      <c r="B442" s="33" t="str">
        <f>IFERROR(__xludf.DUMMYFUNCTION("""COMPUTED_VALUE"""),"Groceries")</f>
        <v>Groceries</v>
      </c>
      <c r="C442" s="33" t="str">
        <f>IFERROR(__xludf.DUMMYFUNCTION("""COMPUTED_VALUE"""),"Healthcare")</f>
        <v>Healthcare</v>
      </c>
      <c r="D442" s="33" t="str">
        <f>IFERROR(__xludf.DUMMYFUNCTION("""COMPUTED_VALUE"""),"Household Items")</f>
        <v>Household Items</v>
      </c>
      <c r="E442" s="33" t="str">
        <f>IFERROR(__xludf.DUMMYFUNCTION("""COMPUTED_VALUE"""),"Housing")</f>
        <v>Housing</v>
      </c>
      <c r="F442" s="33" t="str">
        <f>IFERROR(__xludf.DUMMYFUNCTION("""COMPUTED_VALUE"""),"Miscellaneous")</f>
        <v>Miscellaneous</v>
      </c>
      <c r="G442" s="33" t="str">
        <f>IFERROR(__xludf.DUMMYFUNCTION("""COMPUTED_VALUE"""),"Pet")</f>
        <v>Pet</v>
      </c>
      <c r="H442" s="33" t="str">
        <f>IFERROR(__xludf.DUMMYFUNCTION("""COMPUTED_VALUE"""),"Transportation")</f>
        <v>Transportation</v>
      </c>
      <c r="I442" s="33"/>
      <c r="J442" s="33"/>
      <c r="K442" s="33"/>
    </row>
    <row r="443">
      <c r="A443" s="33" t="str">
        <f>IFERROR(__xludf.DUMMYFUNCTION("""COMPUTED_VALUE"""),"Debt")</f>
        <v>Debt</v>
      </c>
      <c r="B443" s="33" t="str">
        <f>IFERROR(__xludf.DUMMYFUNCTION("""COMPUTED_VALUE"""),"Groceries")</f>
        <v>Groceries</v>
      </c>
      <c r="C443" s="33" t="str">
        <f>IFERROR(__xludf.DUMMYFUNCTION("""COMPUTED_VALUE"""),"Healthcare")</f>
        <v>Healthcare</v>
      </c>
      <c r="D443" s="33" t="str">
        <f>IFERROR(__xludf.DUMMYFUNCTION("""COMPUTED_VALUE"""),"Household Items")</f>
        <v>Household Items</v>
      </c>
      <c r="E443" s="33" t="str">
        <f>IFERROR(__xludf.DUMMYFUNCTION("""COMPUTED_VALUE"""),"Housing")</f>
        <v>Housing</v>
      </c>
      <c r="F443" s="33" t="str">
        <f>IFERROR(__xludf.DUMMYFUNCTION("""COMPUTED_VALUE"""),"Miscellaneous")</f>
        <v>Miscellaneous</v>
      </c>
      <c r="G443" s="33" t="str">
        <f>IFERROR(__xludf.DUMMYFUNCTION("""COMPUTED_VALUE"""),"Pet")</f>
        <v>Pet</v>
      </c>
      <c r="H443" s="33" t="str">
        <f>IFERROR(__xludf.DUMMYFUNCTION("""COMPUTED_VALUE"""),"Transportation")</f>
        <v>Transportation</v>
      </c>
      <c r="I443" s="33"/>
      <c r="J443" s="33"/>
      <c r="K443" s="33"/>
    </row>
    <row r="444">
      <c r="A444" s="33" t="str">
        <f>IFERROR(__xludf.DUMMYFUNCTION("""COMPUTED_VALUE"""),"Debt")</f>
        <v>Debt</v>
      </c>
      <c r="B444" s="33" t="str">
        <f>IFERROR(__xludf.DUMMYFUNCTION("""COMPUTED_VALUE"""),"Groceries")</f>
        <v>Groceries</v>
      </c>
      <c r="C444" s="33" t="str">
        <f>IFERROR(__xludf.DUMMYFUNCTION("""COMPUTED_VALUE"""),"Healthcare")</f>
        <v>Healthcare</v>
      </c>
      <c r="D444" s="33" t="str">
        <f>IFERROR(__xludf.DUMMYFUNCTION("""COMPUTED_VALUE"""),"Household Items")</f>
        <v>Household Items</v>
      </c>
      <c r="E444" s="33" t="str">
        <f>IFERROR(__xludf.DUMMYFUNCTION("""COMPUTED_VALUE"""),"Housing")</f>
        <v>Housing</v>
      </c>
      <c r="F444" s="33" t="str">
        <f>IFERROR(__xludf.DUMMYFUNCTION("""COMPUTED_VALUE"""),"Miscellaneous")</f>
        <v>Miscellaneous</v>
      </c>
      <c r="G444" s="33" t="str">
        <f>IFERROR(__xludf.DUMMYFUNCTION("""COMPUTED_VALUE"""),"Pet")</f>
        <v>Pet</v>
      </c>
      <c r="H444" s="33" t="str">
        <f>IFERROR(__xludf.DUMMYFUNCTION("""COMPUTED_VALUE"""),"Transportation")</f>
        <v>Transportation</v>
      </c>
      <c r="I444" s="33"/>
      <c r="J444" s="33"/>
      <c r="K444" s="33"/>
    </row>
    <row r="445">
      <c r="A445" s="33" t="str">
        <f>IFERROR(__xludf.DUMMYFUNCTION("""COMPUTED_VALUE"""),"Debt")</f>
        <v>Debt</v>
      </c>
      <c r="B445" s="33" t="str">
        <f>IFERROR(__xludf.DUMMYFUNCTION("""COMPUTED_VALUE"""),"Groceries")</f>
        <v>Groceries</v>
      </c>
      <c r="C445" s="33" t="str">
        <f>IFERROR(__xludf.DUMMYFUNCTION("""COMPUTED_VALUE"""),"Healthcare")</f>
        <v>Healthcare</v>
      </c>
      <c r="D445" s="33" t="str">
        <f>IFERROR(__xludf.DUMMYFUNCTION("""COMPUTED_VALUE"""),"Household Items")</f>
        <v>Household Items</v>
      </c>
      <c r="E445" s="33" t="str">
        <f>IFERROR(__xludf.DUMMYFUNCTION("""COMPUTED_VALUE"""),"Housing")</f>
        <v>Housing</v>
      </c>
      <c r="F445" s="33" t="str">
        <f>IFERROR(__xludf.DUMMYFUNCTION("""COMPUTED_VALUE"""),"Miscellaneous")</f>
        <v>Miscellaneous</v>
      </c>
      <c r="G445" s="33" t="str">
        <f>IFERROR(__xludf.DUMMYFUNCTION("""COMPUTED_VALUE"""),"Pet")</f>
        <v>Pet</v>
      </c>
      <c r="H445" s="33" t="str">
        <f>IFERROR(__xludf.DUMMYFUNCTION("""COMPUTED_VALUE"""),"Transportation")</f>
        <v>Transportation</v>
      </c>
      <c r="I445" s="33"/>
      <c r="J445" s="33"/>
      <c r="K445" s="33"/>
    </row>
    <row r="446">
      <c r="A446" s="33" t="str">
        <f>IFERROR(__xludf.DUMMYFUNCTION("""COMPUTED_VALUE"""),"Debt")</f>
        <v>Debt</v>
      </c>
      <c r="B446" s="33" t="str">
        <f>IFERROR(__xludf.DUMMYFUNCTION("""COMPUTED_VALUE"""),"Groceries")</f>
        <v>Groceries</v>
      </c>
      <c r="C446" s="33" t="str">
        <f>IFERROR(__xludf.DUMMYFUNCTION("""COMPUTED_VALUE"""),"Healthcare")</f>
        <v>Healthcare</v>
      </c>
      <c r="D446" s="33" t="str">
        <f>IFERROR(__xludf.DUMMYFUNCTION("""COMPUTED_VALUE"""),"Household Items")</f>
        <v>Household Items</v>
      </c>
      <c r="E446" s="33" t="str">
        <f>IFERROR(__xludf.DUMMYFUNCTION("""COMPUTED_VALUE"""),"Housing")</f>
        <v>Housing</v>
      </c>
      <c r="F446" s="33" t="str">
        <f>IFERROR(__xludf.DUMMYFUNCTION("""COMPUTED_VALUE"""),"Miscellaneous")</f>
        <v>Miscellaneous</v>
      </c>
      <c r="G446" s="33" t="str">
        <f>IFERROR(__xludf.DUMMYFUNCTION("""COMPUTED_VALUE"""),"Pet")</f>
        <v>Pet</v>
      </c>
      <c r="H446" s="33" t="str">
        <f>IFERROR(__xludf.DUMMYFUNCTION("""COMPUTED_VALUE"""),"Transportation")</f>
        <v>Transportation</v>
      </c>
      <c r="I446" s="33"/>
      <c r="J446" s="33"/>
      <c r="K446" s="33"/>
    </row>
    <row r="447">
      <c r="A447" s="33" t="str">
        <f>IFERROR(__xludf.DUMMYFUNCTION("""COMPUTED_VALUE"""),"Debt")</f>
        <v>Debt</v>
      </c>
      <c r="B447" s="33" t="str">
        <f>IFERROR(__xludf.DUMMYFUNCTION("""COMPUTED_VALUE"""),"Groceries")</f>
        <v>Groceries</v>
      </c>
      <c r="C447" s="33" t="str">
        <f>IFERROR(__xludf.DUMMYFUNCTION("""COMPUTED_VALUE"""),"Healthcare")</f>
        <v>Healthcare</v>
      </c>
      <c r="D447" s="33" t="str">
        <f>IFERROR(__xludf.DUMMYFUNCTION("""COMPUTED_VALUE"""),"Household Items")</f>
        <v>Household Items</v>
      </c>
      <c r="E447" s="33" t="str">
        <f>IFERROR(__xludf.DUMMYFUNCTION("""COMPUTED_VALUE"""),"Housing")</f>
        <v>Housing</v>
      </c>
      <c r="F447" s="33" t="str">
        <f>IFERROR(__xludf.DUMMYFUNCTION("""COMPUTED_VALUE"""),"Miscellaneous")</f>
        <v>Miscellaneous</v>
      </c>
      <c r="G447" s="33" t="str">
        <f>IFERROR(__xludf.DUMMYFUNCTION("""COMPUTED_VALUE"""),"Pet")</f>
        <v>Pet</v>
      </c>
      <c r="H447" s="33" t="str">
        <f>IFERROR(__xludf.DUMMYFUNCTION("""COMPUTED_VALUE"""),"Transportation")</f>
        <v>Transportation</v>
      </c>
      <c r="I447" s="33"/>
      <c r="J447" s="33"/>
      <c r="K447" s="33"/>
    </row>
    <row r="448">
      <c r="A448" s="33" t="str">
        <f>IFERROR(__xludf.DUMMYFUNCTION("""COMPUTED_VALUE"""),"Debt")</f>
        <v>Debt</v>
      </c>
      <c r="B448" s="33" t="str">
        <f>IFERROR(__xludf.DUMMYFUNCTION("""COMPUTED_VALUE"""),"Groceries")</f>
        <v>Groceries</v>
      </c>
      <c r="C448" s="33" t="str">
        <f>IFERROR(__xludf.DUMMYFUNCTION("""COMPUTED_VALUE"""),"Healthcare")</f>
        <v>Healthcare</v>
      </c>
      <c r="D448" s="33" t="str">
        <f>IFERROR(__xludf.DUMMYFUNCTION("""COMPUTED_VALUE"""),"Household Items")</f>
        <v>Household Items</v>
      </c>
      <c r="E448" s="33" t="str">
        <f>IFERROR(__xludf.DUMMYFUNCTION("""COMPUTED_VALUE"""),"Housing")</f>
        <v>Housing</v>
      </c>
      <c r="F448" s="33" t="str">
        <f>IFERROR(__xludf.DUMMYFUNCTION("""COMPUTED_VALUE"""),"Miscellaneous")</f>
        <v>Miscellaneous</v>
      </c>
      <c r="G448" s="33" t="str">
        <f>IFERROR(__xludf.DUMMYFUNCTION("""COMPUTED_VALUE"""),"Pet")</f>
        <v>Pet</v>
      </c>
      <c r="H448" s="33" t="str">
        <f>IFERROR(__xludf.DUMMYFUNCTION("""COMPUTED_VALUE"""),"Transportation")</f>
        <v>Transportation</v>
      </c>
      <c r="I448" s="33"/>
      <c r="J448" s="33"/>
      <c r="K448" s="33"/>
    </row>
    <row r="449">
      <c r="A449" s="33" t="str">
        <f>IFERROR(__xludf.DUMMYFUNCTION("""COMPUTED_VALUE"""),"Dining Out")</f>
        <v>Dining Out</v>
      </c>
      <c r="B449" s="33" t="str">
        <f>IFERROR(__xludf.DUMMYFUNCTION("""COMPUTED_VALUE"""),"Entertainment")</f>
        <v>Entertainment</v>
      </c>
      <c r="C449" s="33" t="str">
        <f>IFERROR(__xludf.DUMMYFUNCTION("""COMPUTED_VALUE"""),"Gaming")</f>
        <v>Gaming</v>
      </c>
      <c r="D449" s="33" t="str">
        <f>IFERROR(__xludf.DUMMYFUNCTION("""COMPUTED_VALUE"""),"Gifts")</f>
        <v>Gifts</v>
      </c>
      <c r="E449" s="33" t="str">
        <f>IFERROR(__xludf.DUMMYFUNCTION("""COMPUTED_VALUE"""),"Groceries")</f>
        <v>Groceries</v>
      </c>
      <c r="F449" s="33" t="str">
        <f>IFERROR(__xludf.DUMMYFUNCTION("""COMPUTED_VALUE"""),"Healthcare")</f>
        <v>Healthcare</v>
      </c>
      <c r="G449" s="33" t="str">
        <f>IFERROR(__xludf.DUMMYFUNCTION("""COMPUTED_VALUE"""),"Hobbies")</f>
        <v>Hobbies</v>
      </c>
      <c r="H449" s="33" t="str">
        <f>IFERROR(__xludf.DUMMYFUNCTION("""COMPUTED_VALUE"""),"Household Items")</f>
        <v>Household Items</v>
      </c>
      <c r="I449" s="33" t="str">
        <f>IFERROR(__xludf.DUMMYFUNCTION("""COMPUTED_VALUE"""),"Subscriptions")</f>
        <v>Subscriptions</v>
      </c>
      <c r="J449" s="33" t="str">
        <f>IFERROR(__xludf.DUMMYFUNCTION("""COMPUTED_VALUE"""),"Transportation")</f>
        <v>Transportation</v>
      </c>
      <c r="K449" s="33" t="str">
        <f>IFERROR(__xludf.DUMMYFUNCTION("""COMPUTED_VALUE"""),"Travel")</f>
        <v>Travel</v>
      </c>
    </row>
    <row r="450">
      <c r="A450" s="33" t="str">
        <f>IFERROR(__xludf.DUMMYFUNCTION("""COMPUTED_VALUE"""),"Dining Out")</f>
        <v>Dining Out</v>
      </c>
      <c r="B450" s="33" t="str">
        <f>IFERROR(__xludf.DUMMYFUNCTION("""COMPUTED_VALUE"""),"Entertainment")</f>
        <v>Entertainment</v>
      </c>
      <c r="C450" s="33" t="str">
        <f>IFERROR(__xludf.DUMMYFUNCTION("""COMPUTED_VALUE"""),"Gaming")</f>
        <v>Gaming</v>
      </c>
      <c r="D450" s="33" t="str">
        <f>IFERROR(__xludf.DUMMYFUNCTION("""COMPUTED_VALUE"""),"Gifts")</f>
        <v>Gifts</v>
      </c>
      <c r="E450" s="33" t="str">
        <f>IFERROR(__xludf.DUMMYFUNCTION("""COMPUTED_VALUE"""),"Groceries")</f>
        <v>Groceries</v>
      </c>
      <c r="F450" s="33" t="str">
        <f>IFERROR(__xludf.DUMMYFUNCTION("""COMPUTED_VALUE"""),"Healthcare")</f>
        <v>Healthcare</v>
      </c>
      <c r="G450" s="33" t="str">
        <f>IFERROR(__xludf.DUMMYFUNCTION("""COMPUTED_VALUE"""),"Hobbies")</f>
        <v>Hobbies</v>
      </c>
      <c r="H450" s="33" t="str">
        <f>IFERROR(__xludf.DUMMYFUNCTION("""COMPUTED_VALUE"""),"Household Items")</f>
        <v>Household Items</v>
      </c>
      <c r="I450" s="33" t="str">
        <f>IFERROR(__xludf.DUMMYFUNCTION("""COMPUTED_VALUE"""),"Subscriptions")</f>
        <v>Subscriptions</v>
      </c>
      <c r="J450" s="33" t="str">
        <f>IFERROR(__xludf.DUMMYFUNCTION("""COMPUTED_VALUE"""),"Transportation")</f>
        <v>Transportation</v>
      </c>
      <c r="K450" s="33" t="str">
        <f>IFERROR(__xludf.DUMMYFUNCTION("""COMPUTED_VALUE"""),"Travel")</f>
        <v>Travel</v>
      </c>
    </row>
    <row r="451">
      <c r="A451" s="33" t="str">
        <f>IFERROR(__xludf.DUMMYFUNCTION("""COMPUTED_VALUE"""),"Dining Out")</f>
        <v>Dining Out</v>
      </c>
      <c r="B451" s="33" t="str">
        <f>IFERROR(__xludf.DUMMYFUNCTION("""COMPUTED_VALUE"""),"Entertainment")</f>
        <v>Entertainment</v>
      </c>
      <c r="C451" s="33" t="str">
        <f>IFERROR(__xludf.DUMMYFUNCTION("""COMPUTED_VALUE"""),"Gaming")</f>
        <v>Gaming</v>
      </c>
      <c r="D451" s="33" t="str">
        <f>IFERROR(__xludf.DUMMYFUNCTION("""COMPUTED_VALUE"""),"Gifts")</f>
        <v>Gifts</v>
      </c>
      <c r="E451" s="33" t="str">
        <f>IFERROR(__xludf.DUMMYFUNCTION("""COMPUTED_VALUE"""),"Groceries")</f>
        <v>Groceries</v>
      </c>
      <c r="F451" s="33" t="str">
        <f>IFERROR(__xludf.DUMMYFUNCTION("""COMPUTED_VALUE"""),"Healthcare")</f>
        <v>Healthcare</v>
      </c>
      <c r="G451" s="33" t="str">
        <f>IFERROR(__xludf.DUMMYFUNCTION("""COMPUTED_VALUE"""),"Hobbies")</f>
        <v>Hobbies</v>
      </c>
      <c r="H451" s="33" t="str">
        <f>IFERROR(__xludf.DUMMYFUNCTION("""COMPUTED_VALUE"""),"Household Items")</f>
        <v>Household Items</v>
      </c>
      <c r="I451" s="33" t="str">
        <f>IFERROR(__xludf.DUMMYFUNCTION("""COMPUTED_VALUE"""),"Subscriptions")</f>
        <v>Subscriptions</v>
      </c>
      <c r="J451" s="33" t="str">
        <f>IFERROR(__xludf.DUMMYFUNCTION("""COMPUTED_VALUE"""),"Transportation")</f>
        <v>Transportation</v>
      </c>
      <c r="K451" s="33" t="str">
        <f>IFERROR(__xludf.DUMMYFUNCTION("""COMPUTED_VALUE"""),"Travel")</f>
        <v>Travel</v>
      </c>
    </row>
    <row r="452">
      <c r="A452" s="33" t="str">
        <f>IFERROR(__xludf.DUMMYFUNCTION("""COMPUTED_VALUE"""),"Clothing")</f>
        <v>Clothing</v>
      </c>
      <c r="B452" s="33" t="str">
        <f>IFERROR(__xludf.DUMMYFUNCTION("""COMPUTED_VALUE"""),"Gaming")</f>
        <v>Gaming</v>
      </c>
      <c r="C452" s="33" t="str">
        <f>IFERROR(__xludf.DUMMYFUNCTION("""COMPUTED_VALUE"""),"Gifts")</f>
        <v>Gifts</v>
      </c>
      <c r="D452" s="33" t="str">
        <f>IFERROR(__xludf.DUMMYFUNCTION("""COMPUTED_VALUE"""),"Healthcare")</f>
        <v>Healthcare</v>
      </c>
      <c r="E452" s="33" t="str">
        <f>IFERROR(__xludf.DUMMYFUNCTION("""COMPUTED_VALUE"""),"Hobbies")</f>
        <v>Hobbies</v>
      </c>
      <c r="F452" s="33" t="str">
        <f>IFERROR(__xludf.DUMMYFUNCTION("""COMPUTED_VALUE"""),"Subscriptions")</f>
        <v>Subscriptions</v>
      </c>
      <c r="G452" s="33"/>
      <c r="H452" s="33"/>
      <c r="I452" s="33"/>
      <c r="J452" s="33"/>
      <c r="K452" s="33"/>
    </row>
    <row r="453">
      <c r="A453" s="33" t="str">
        <f>IFERROR(__xludf.DUMMYFUNCTION("""COMPUTED_VALUE"""),"Cashback")</f>
        <v>Cashback</v>
      </c>
      <c r="B453" s="33" t="str">
        <f>IFERROR(__xludf.DUMMYFUNCTION("""COMPUTED_VALUE"""),"Investment Returns")</f>
        <v>Investment Returns</v>
      </c>
      <c r="C453" s="33" t="str">
        <f>IFERROR(__xludf.DUMMYFUNCTION("""COMPUTED_VALUE"""),"Paycheck")</f>
        <v>Paycheck</v>
      </c>
      <c r="D453" s="33" t="str">
        <f>IFERROR(__xludf.DUMMYFUNCTION("""COMPUTED_VALUE"""),"Reimbursement")</f>
        <v>Reimbursement</v>
      </c>
      <c r="E453" s="33" t="str">
        <f>IFERROR(__xludf.DUMMYFUNCTION("""COMPUTED_VALUE"""),"Rewards")</f>
        <v>Rewards</v>
      </c>
      <c r="F453" s="33"/>
      <c r="G453" s="33"/>
      <c r="H453" s="33"/>
      <c r="I453" s="33"/>
      <c r="J453" s="33"/>
      <c r="K453" s="33"/>
    </row>
    <row r="454">
      <c r="A454" s="33" t="str">
        <f>IFERROR(__xludf.DUMMYFUNCTION("""COMPUTED_VALUE"""),"Cashback")</f>
        <v>Cashback</v>
      </c>
      <c r="B454" s="33" t="str">
        <f>IFERROR(__xludf.DUMMYFUNCTION("""COMPUTED_VALUE"""),"Investment Returns")</f>
        <v>Investment Returns</v>
      </c>
      <c r="C454" s="33" t="str">
        <f>IFERROR(__xludf.DUMMYFUNCTION("""COMPUTED_VALUE"""),"Paycheck")</f>
        <v>Paycheck</v>
      </c>
      <c r="D454" s="33" t="str">
        <f>IFERROR(__xludf.DUMMYFUNCTION("""COMPUTED_VALUE"""),"Reimbursement")</f>
        <v>Reimbursement</v>
      </c>
      <c r="E454" s="33" t="str">
        <f>IFERROR(__xludf.DUMMYFUNCTION("""COMPUTED_VALUE"""),"Rewards")</f>
        <v>Rewards</v>
      </c>
      <c r="F454" s="33"/>
      <c r="G454" s="33"/>
      <c r="H454" s="33"/>
      <c r="I454" s="33"/>
      <c r="J454" s="33"/>
      <c r="K454" s="33"/>
    </row>
    <row r="455">
      <c r="A455" s="33" t="str">
        <f>IFERROR(__xludf.DUMMYFUNCTION("""COMPUTED_VALUE"""),"Debt")</f>
        <v>Debt</v>
      </c>
      <c r="B455" s="33" t="str">
        <f>IFERROR(__xludf.DUMMYFUNCTION("""COMPUTED_VALUE"""),"Groceries")</f>
        <v>Groceries</v>
      </c>
      <c r="C455" s="33" t="str">
        <f>IFERROR(__xludf.DUMMYFUNCTION("""COMPUTED_VALUE"""),"Healthcare")</f>
        <v>Healthcare</v>
      </c>
      <c r="D455" s="33" t="str">
        <f>IFERROR(__xludf.DUMMYFUNCTION("""COMPUTED_VALUE"""),"Household Items")</f>
        <v>Household Items</v>
      </c>
      <c r="E455" s="33" t="str">
        <f>IFERROR(__xludf.DUMMYFUNCTION("""COMPUTED_VALUE"""),"Housing")</f>
        <v>Housing</v>
      </c>
      <c r="F455" s="33" t="str">
        <f>IFERROR(__xludf.DUMMYFUNCTION("""COMPUTED_VALUE"""),"Miscellaneous")</f>
        <v>Miscellaneous</v>
      </c>
      <c r="G455" s="33" t="str">
        <f>IFERROR(__xludf.DUMMYFUNCTION("""COMPUTED_VALUE"""),"Pet")</f>
        <v>Pet</v>
      </c>
      <c r="H455" s="33" t="str">
        <f>IFERROR(__xludf.DUMMYFUNCTION("""COMPUTED_VALUE"""),"Transportation")</f>
        <v>Transportation</v>
      </c>
      <c r="I455" s="33"/>
      <c r="J455" s="33"/>
      <c r="K455" s="33"/>
    </row>
    <row r="456">
      <c r="A456" s="33" t="str">
        <f>IFERROR(__xludf.DUMMYFUNCTION("""COMPUTED_VALUE"""),"Debt")</f>
        <v>Debt</v>
      </c>
      <c r="B456" s="33" t="str">
        <f>IFERROR(__xludf.DUMMYFUNCTION("""COMPUTED_VALUE"""),"Groceries")</f>
        <v>Groceries</v>
      </c>
      <c r="C456" s="33" t="str">
        <f>IFERROR(__xludf.DUMMYFUNCTION("""COMPUTED_VALUE"""),"Healthcare")</f>
        <v>Healthcare</v>
      </c>
      <c r="D456" s="33" t="str">
        <f>IFERROR(__xludf.DUMMYFUNCTION("""COMPUTED_VALUE"""),"Household Items")</f>
        <v>Household Items</v>
      </c>
      <c r="E456" s="33" t="str">
        <f>IFERROR(__xludf.DUMMYFUNCTION("""COMPUTED_VALUE"""),"Housing")</f>
        <v>Housing</v>
      </c>
      <c r="F456" s="33" t="str">
        <f>IFERROR(__xludf.DUMMYFUNCTION("""COMPUTED_VALUE"""),"Miscellaneous")</f>
        <v>Miscellaneous</v>
      </c>
      <c r="G456" s="33" t="str">
        <f>IFERROR(__xludf.DUMMYFUNCTION("""COMPUTED_VALUE"""),"Pet")</f>
        <v>Pet</v>
      </c>
      <c r="H456" s="33" t="str">
        <f>IFERROR(__xludf.DUMMYFUNCTION("""COMPUTED_VALUE"""),"Transportation")</f>
        <v>Transportation</v>
      </c>
      <c r="I456" s="33"/>
      <c r="J456" s="33"/>
      <c r="K456" s="33"/>
    </row>
    <row r="457">
      <c r="A457" s="33" t="str">
        <f>IFERROR(__xludf.DUMMYFUNCTION("""COMPUTED_VALUE"""),"Debt")</f>
        <v>Debt</v>
      </c>
      <c r="B457" s="33" t="str">
        <f>IFERROR(__xludf.DUMMYFUNCTION("""COMPUTED_VALUE"""),"Groceries")</f>
        <v>Groceries</v>
      </c>
      <c r="C457" s="33" t="str">
        <f>IFERROR(__xludf.DUMMYFUNCTION("""COMPUTED_VALUE"""),"Healthcare")</f>
        <v>Healthcare</v>
      </c>
      <c r="D457" s="33" t="str">
        <f>IFERROR(__xludf.DUMMYFUNCTION("""COMPUTED_VALUE"""),"Household Items")</f>
        <v>Household Items</v>
      </c>
      <c r="E457" s="33" t="str">
        <f>IFERROR(__xludf.DUMMYFUNCTION("""COMPUTED_VALUE"""),"Housing")</f>
        <v>Housing</v>
      </c>
      <c r="F457" s="33" t="str">
        <f>IFERROR(__xludf.DUMMYFUNCTION("""COMPUTED_VALUE"""),"Miscellaneous")</f>
        <v>Miscellaneous</v>
      </c>
      <c r="G457" s="33" t="str">
        <f>IFERROR(__xludf.DUMMYFUNCTION("""COMPUTED_VALUE"""),"Pet")</f>
        <v>Pet</v>
      </c>
      <c r="H457" s="33" t="str">
        <f>IFERROR(__xludf.DUMMYFUNCTION("""COMPUTED_VALUE"""),"Transportation")</f>
        <v>Transportation</v>
      </c>
      <c r="I457" s="33"/>
      <c r="J457" s="33"/>
      <c r="K457" s="33"/>
    </row>
    <row r="458">
      <c r="A458" s="33" t="str">
        <f>IFERROR(__xludf.DUMMYFUNCTION("""COMPUTED_VALUE"""),"Debt")</f>
        <v>Debt</v>
      </c>
      <c r="B458" s="33" t="str">
        <f>IFERROR(__xludf.DUMMYFUNCTION("""COMPUTED_VALUE"""),"Groceries")</f>
        <v>Groceries</v>
      </c>
      <c r="C458" s="33" t="str">
        <f>IFERROR(__xludf.DUMMYFUNCTION("""COMPUTED_VALUE"""),"Healthcare")</f>
        <v>Healthcare</v>
      </c>
      <c r="D458" s="33" t="str">
        <f>IFERROR(__xludf.DUMMYFUNCTION("""COMPUTED_VALUE"""),"Household Items")</f>
        <v>Household Items</v>
      </c>
      <c r="E458" s="33" t="str">
        <f>IFERROR(__xludf.DUMMYFUNCTION("""COMPUTED_VALUE"""),"Housing")</f>
        <v>Housing</v>
      </c>
      <c r="F458" s="33" t="str">
        <f>IFERROR(__xludf.DUMMYFUNCTION("""COMPUTED_VALUE"""),"Miscellaneous")</f>
        <v>Miscellaneous</v>
      </c>
      <c r="G458" s="33" t="str">
        <f>IFERROR(__xludf.DUMMYFUNCTION("""COMPUTED_VALUE"""),"Pet")</f>
        <v>Pet</v>
      </c>
      <c r="H458" s="33" t="str">
        <f>IFERROR(__xludf.DUMMYFUNCTION("""COMPUTED_VALUE"""),"Transportation")</f>
        <v>Transportation</v>
      </c>
      <c r="I458" s="33"/>
      <c r="J458" s="33"/>
      <c r="K458" s="33"/>
    </row>
    <row r="459">
      <c r="A459" s="33" t="str">
        <f>IFERROR(__xludf.DUMMYFUNCTION("""COMPUTED_VALUE"""),"Debt")</f>
        <v>Debt</v>
      </c>
      <c r="B459" s="33" t="str">
        <f>IFERROR(__xludf.DUMMYFUNCTION("""COMPUTED_VALUE"""),"Groceries")</f>
        <v>Groceries</v>
      </c>
      <c r="C459" s="33" t="str">
        <f>IFERROR(__xludf.DUMMYFUNCTION("""COMPUTED_VALUE"""),"Healthcare")</f>
        <v>Healthcare</v>
      </c>
      <c r="D459" s="33" t="str">
        <f>IFERROR(__xludf.DUMMYFUNCTION("""COMPUTED_VALUE"""),"Household Items")</f>
        <v>Household Items</v>
      </c>
      <c r="E459" s="33" t="str">
        <f>IFERROR(__xludf.DUMMYFUNCTION("""COMPUTED_VALUE"""),"Housing")</f>
        <v>Housing</v>
      </c>
      <c r="F459" s="33" t="str">
        <f>IFERROR(__xludf.DUMMYFUNCTION("""COMPUTED_VALUE"""),"Miscellaneous")</f>
        <v>Miscellaneous</v>
      </c>
      <c r="G459" s="33" t="str">
        <f>IFERROR(__xludf.DUMMYFUNCTION("""COMPUTED_VALUE"""),"Pet")</f>
        <v>Pet</v>
      </c>
      <c r="H459" s="33" t="str">
        <f>IFERROR(__xludf.DUMMYFUNCTION("""COMPUTED_VALUE"""),"Transportation")</f>
        <v>Transportation</v>
      </c>
      <c r="I459" s="33"/>
      <c r="J459" s="33"/>
      <c r="K459" s="33"/>
    </row>
    <row r="460">
      <c r="A460" s="33" t="str">
        <f>IFERROR(__xludf.DUMMYFUNCTION("""COMPUTED_VALUE"""),"Debt")</f>
        <v>Debt</v>
      </c>
      <c r="B460" s="33" t="str">
        <f>IFERROR(__xludf.DUMMYFUNCTION("""COMPUTED_VALUE"""),"Groceries")</f>
        <v>Groceries</v>
      </c>
      <c r="C460" s="33" t="str">
        <f>IFERROR(__xludf.DUMMYFUNCTION("""COMPUTED_VALUE"""),"Healthcare")</f>
        <v>Healthcare</v>
      </c>
      <c r="D460" s="33" t="str">
        <f>IFERROR(__xludf.DUMMYFUNCTION("""COMPUTED_VALUE"""),"Household Items")</f>
        <v>Household Items</v>
      </c>
      <c r="E460" s="33" t="str">
        <f>IFERROR(__xludf.DUMMYFUNCTION("""COMPUTED_VALUE"""),"Housing")</f>
        <v>Housing</v>
      </c>
      <c r="F460" s="33" t="str">
        <f>IFERROR(__xludf.DUMMYFUNCTION("""COMPUTED_VALUE"""),"Miscellaneous")</f>
        <v>Miscellaneous</v>
      </c>
      <c r="G460" s="33" t="str">
        <f>IFERROR(__xludf.DUMMYFUNCTION("""COMPUTED_VALUE"""),"Pet")</f>
        <v>Pet</v>
      </c>
      <c r="H460" s="33" t="str">
        <f>IFERROR(__xludf.DUMMYFUNCTION("""COMPUTED_VALUE"""),"Transportation")</f>
        <v>Transportation</v>
      </c>
      <c r="I460" s="33"/>
      <c r="J460" s="33"/>
      <c r="K460" s="33"/>
    </row>
    <row r="461">
      <c r="A461" s="33" t="str">
        <f>IFERROR(__xludf.DUMMYFUNCTION("""COMPUTED_VALUE"""),"Debt")</f>
        <v>Debt</v>
      </c>
      <c r="B461" s="33" t="str">
        <f>IFERROR(__xludf.DUMMYFUNCTION("""COMPUTED_VALUE"""),"Groceries")</f>
        <v>Groceries</v>
      </c>
      <c r="C461" s="33" t="str">
        <f>IFERROR(__xludf.DUMMYFUNCTION("""COMPUTED_VALUE"""),"Healthcare")</f>
        <v>Healthcare</v>
      </c>
      <c r="D461" s="33" t="str">
        <f>IFERROR(__xludf.DUMMYFUNCTION("""COMPUTED_VALUE"""),"Household Items")</f>
        <v>Household Items</v>
      </c>
      <c r="E461" s="33" t="str">
        <f>IFERROR(__xludf.DUMMYFUNCTION("""COMPUTED_VALUE"""),"Housing")</f>
        <v>Housing</v>
      </c>
      <c r="F461" s="33" t="str">
        <f>IFERROR(__xludf.DUMMYFUNCTION("""COMPUTED_VALUE"""),"Miscellaneous")</f>
        <v>Miscellaneous</v>
      </c>
      <c r="G461" s="33" t="str">
        <f>IFERROR(__xludf.DUMMYFUNCTION("""COMPUTED_VALUE"""),"Pet")</f>
        <v>Pet</v>
      </c>
      <c r="H461" s="33" t="str">
        <f>IFERROR(__xludf.DUMMYFUNCTION("""COMPUTED_VALUE"""),"Transportation")</f>
        <v>Transportation</v>
      </c>
      <c r="I461" s="33"/>
      <c r="J461" s="33"/>
      <c r="K461" s="33"/>
    </row>
    <row r="462">
      <c r="A462" s="33" t="str">
        <f>IFERROR(__xludf.DUMMYFUNCTION("""COMPUTED_VALUE"""),"Debt")</f>
        <v>Debt</v>
      </c>
      <c r="B462" s="33" t="str">
        <f>IFERROR(__xludf.DUMMYFUNCTION("""COMPUTED_VALUE"""),"Groceries")</f>
        <v>Groceries</v>
      </c>
      <c r="C462" s="33" t="str">
        <f>IFERROR(__xludf.DUMMYFUNCTION("""COMPUTED_VALUE"""),"Healthcare")</f>
        <v>Healthcare</v>
      </c>
      <c r="D462" s="33" t="str">
        <f>IFERROR(__xludf.DUMMYFUNCTION("""COMPUTED_VALUE"""),"Household Items")</f>
        <v>Household Items</v>
      </c>
      <c r="E462" s="33" t="str">
        <f>IFERROR(__xludf.DUMMYFUNCTION("""COMPUTED_VALUE"""),"Housing")</f>
        <v>Housing</v>
      </c>
      <c r="F462" s="33" t="str">
        <f>IFERROR(__xludf.DUMMYFUNCTION("""COMPUTED_VALUE"""),"Miscellaneous")</f>
        <v>Miscellaneous</v>
      </c>
      <c r="G462" s="33" t="str">
        <f>IFERROR(__xludf.DUMMYFUNCTION("""COMPUTED_VALUE"""),"Pet")</f>
        <v>Pet</v>
      </c>
      <c r="H462" s="33" t="str">
        <f>IFERROR(__xludf.DUMMYFUNCTION("""COMPUTED_VALUE"""),"Transportation")</f>
        <v>Transportation</v>
      </c>
      <c r="I462" s="33"/>
      <c r="J462" s="33"/>
      <c r="K462" s="33"/>
    </row>
    <row r="463">
      <c r="A463" s="33" t="str">
        <f>IFERROR(__xludf.DUMMYFUNCTION("""COMPUTED_VALUE"""),"Deposit")</f>
        <v>Deposit</v>
      </c>
      <c r="B463" s="33" t="str">
        <f>IFERROR(__xludf.DUMMYFUNCTION("""COMPUTED_VALUE"""),"Withdrawal")</f>
        <v>Withdrawal</v>
      </c>
      <c r="C463" s="33"/>
      <c r="D463" s="33"/>
      <c r="E463" s="33"/>
      <c r="F463" s="33"/>
      <c r="G463" s="33"/>
      <c r="H463" s="33"/>
      <c r="I463" s="33"/>
      <c r="J463" s="33"/>
      <c r="K463" s="33"/>
    </row>
    <row r="464">
      <c r="A464" s="33" t="str">
        <f>IFERROR(__xludf.DUMMYFUNCTION("""COMPUTED_VALUE"""),"Deposit")</f>
        <v>Deposit</v>
      </c>
      <c r="B464" s="33" t="str">
        <f>IFERROR(__xludf.DUMMYFUNCTION("""COMPUTED_VALUE"""),"Withdrawal")</f>
        <v>Withdrawal</v>
      </c>
      <c r="C464" s="33"/>
      <c r="D464" s="33"/>
      <c r="E464" s="33"/>
      <c r="F464" s="33"/>
      <c r="G464" s="33"/>
      <c r="H464" s="33"/>
      <c r="I464" s="33"/>
      <c r="J464" s="33"/>
      <c r="K464" s="33"/>
    </row>
    <row r="465">
      <c r="A465" s="33" t="str">
        <f>IFERROR(__xludf.DUMMYFUNCTION("""COMPUTED_VALUE"""),"Debt")</f>
        <v>Debt</v>
      </c>
      <c r="B465" s="33" t="str">
        <f>IFERROR(__xludf.DUMMYFUNCTION("""COMPUTED_VALUE"""),"Groceries")</f>
        <v>Groceries</v>
      </c>
      <c r="C465" s="33" t="str">
        <f>IFERROR(__xludf.DUMMYFUNCTION("""COMPUTED_VALUE"""),"Healthcare")</f>
        <v>Healthcare</v>
      </c>
      <c r="D465" s="33" t="str">
        <f>IFERROR(__xludf.DUMMYFUNCTION("""COMPUTED_VALUE"""),"Household Items")</f>
        <v>Household Items</v>
      </c>
      <c r="E465" s="33" t="str">
        <f>IFERROR(__xludf.DUMMYFUNCTION("""COMPUTED_VALUE"""),"Housing")</f>
        <v>Housing</v>
      </c>
      <c r="F465" s="33" t="str">
        <f>IFERROR(__xludf.DUMMYFUNCTION("""COMPUTED_VALUE"""),"Miscellaneous")</f>
        <v>Miscellaneous</v>
      </c>
      <c r="G465" s="33" t="str">
        <f>IFERROR(__xludf.DUMMYFUNCTION("""COMPUTED_VALUE"""),"Pet")</f>
        <v>Pet</v>
      </c>
      <c r="H465" s="33" t="str">
        <f>IFERROR(__xludf.DUMMYFUNCTION("""COMPUTED_VALUE"""),"Transportation")</f>
        <v>Transportation</v>
      </c>
      <c r="I465" s="33"/>
      <c r="J465" s="33"/>
      <c r="K465" s="33"/>
    </row>
    <row r="466">
      <c r="A466" s="33" t="str">
        <f>IFERROR(__xludf.DUMMYFUNCTION("""COMPUTED_VALUE"""),"Dining Out")</f>
        <v>Dining Out</v>
      </c>
      <c r="B466" s="33" t="str">
        <f>IFERROR(__xludf.DUMMYFUNCTION("""COMPUTED_VALUE"""),"Entertainment")</f>
        <v>Entertainment</v>
      </c>
      <c r="C466" s="33" t="str">
        <f>IFERROR(__xludf.DUMMYFUNCTION("""COMPUTED_VALUE"""),"Gaming")</f>
        <v>Gaming</v>
      </c>
      <c r="D466" s="33" t="str">
        <f>IFERROR(__xludf.DUMMYFUNCTION("""COMPUTED_VALUE"""),"Gifts")</f>
        <v>Gifts</v>
      </c>
      <c r="E466" s="33" t="str">
        <f>IFERROR(__xludf.DUMMYFUNCTION("""COMPUTED_VALUE"""),"Groceries")</f>
        <v>Groceries</v>
      </c>
      <c r="F466" s="33" t="str">
        <f>IFERROR(__xludf.DUMMYFUNCTION("""COMPUTED_VALUE"""),"Healthcare")</f>
        <v>Healthcare</v>
      </c>
      <c r="G466" s="33" t="str">
        <f>IFERROR(__xludf.DUMMYFUNCTION("""COMPUTED_VALUE"""),"Hobbies")</f>
        <v>Hobbies</v>
      </c>
      <c r="H466" s="33" t="str">
        <f>IFERROR(__xludf.DUMMYFUNCTION("""COMPUTED_VALUE"""),"Household Items")</f>
        <v>Household Items</v>
      </c>
      <c r="I466" s="33" t="str">
        <f>IFERROR(__xludf.DUMMYFUNCTION("""COMPUTED_VALUE"""),"Subscriptions")</f>
        <v>Subscriptions</v>
      </c>
      <c r="J466" s="33" t="str">
        <f>IFERROR(__xludf.DUMMYFUNCTION("""COMPUTED_VALUE"""),"Transportation")</f>
        <v>Transportation</v>
      </c>
      <c r="K466" s="33" t="str">
        <f>IFERROR(__xludf.DUMMYFUNCTION("""COMPUTED_VALUE"""),"Travel")</f>
        <v>Travel</v>
      </c>
    </row>
    <row r="467">
      <c r="A467" s="33" t="str">
        <f>IFERROR(__xludf.DUMMYFUNCTION("""COMPUTED_VALUE"""),"Dining Out")</f>
        <v>Dining Out</v>
      </c>
      <c r="B467" s="33" t="str">
        <f>IFERROR(__xludf.DUMMYFUNCTION("""COMPUTED_VALUE"""),"Entertainment")</f>
        <v>Entertainment</v>
      </c>
      <c r="C467" s="33" t="str">
        <f>IFERROR(__xludf.DUMMYFUNCTION("""COMPUTED_VALUE"""),"Gaming")</f>
        <v>Gaming</v>
      </c>
      <c r="D467" s="33" t="str">
        <f>IFERROR(__xludf.DUMMYFUNCTION("""COMPUTED_VALUE"""),"Gifts")</f>
        <v>Gifts</v>
      </c>
      <c r="E467" s="33" t="str">
        <f>IFERROR(__xludf.DUMMYFUNCTION("""COMPUTED_VALUE"""),"Groceries")</f>
        <v>Groceries</v>
      </c>
      <c r="F467" s="33" t="str">
        <f>IFERROR(__xludf.DUMMYFUNCTION("""COMPUTED_VALUE"""),"Healthcare")</f>
        <v>Healthcare</v>
      </c>
      <c r="G467" s="33" t="str">
        <f>IFERROR(__xludf.DUMMYFUNCTION("""COMPUTED_VALUE"""),"Hobbies")</f>
        <v>Hobbies</v>
      </c>
      <c r="H467" s="33" t="str">
        <f>IFERROR(__xludf.DUMMYFUNCTION("""COMPUTED_VALUE"""),"Household Items")</f>
        <v>Household Items</v>
      </c>
      <c r="I467" s="33" t="str">
        <f>IFERROR(__xludf.DUMMYFUNCTION("""COMPUTED_VALUE"""),"Subscriptions")</f>
        <v>Subscriptions</v>
      </c>
      <c r="J467" s="33" t="str">
        <f>IFERROR(__xludf.DUMMYFUNCTION("""COMPUTED_VALUE"""),"Transportation")</f>
        <v>Transportation</v>
      </c>
      <c r="K467" s="33" t="str">
        <f>IFERROR(__xludf.DUMMYFUNCTION("""COMPUTED_VALUE"""),"Travel")</f>
        <v>Travel</v>
      </c>
    </row>
    <row r="468">
      <c r="A468" s="33" t="str">
        <f>IFERROR(__xludf.DUMMYFUNCTION("""COMPUTED_VALUE"""),"Debt")</f>
        <v>Debt</v>
      </c>
      <c r="B468" s="33" t="str">
        <f>IFERROR(__xludf.DUMMYFUNCTION("""COMPUTED_VALUE"""),"Groceries")</f>
        <v>Groceries</v>
      </c>
      <c r="C468" s="33" t="str">
        <f>IFERROR(__xludf.DUMMYFUNCTION("""COMPUTED_VALUE"""),"Healthcare")</f>
        <v>Healthcare</v>
      </c>
      <c r="D468" s="33" t="str">
        <f>IFERROR(__xludf.DUMMYFUNCTION("""COMPUTED_VALUE"""),"Household Items")</f>
        <v>Household Items</v>
      </c>
      <c r="E468" s="33" t="str">
        <f>IFERROR(__xludf.DUMMYFUNCTION("""COMPUTED_VALUE"""),"Housing")</f>
        <v>Housing</v>
      </c>
      <c r="F468" s="33" t="str">
        <f>IFERROR(__xludf.DUMMYFUNCTION("""COMPUTED_VALUE"""),"Miscellaneous")</f>
        <v>Miscellaneous</v>
      </c>
      <c r="G468" s="33" t="str">
        <f>IFERROR(__xludf.DUMMYFUNCTION("""COMPUTED_VALUE"""),"Pet")</f>
        <v>Pet</v>
      </c>
      <c r="H468" s="33" t="str">
        <f>IFERROR(__xludf.DUMMYFUNCTION("""COMPUTED_VALUE"""),"Transportation")</f>
        <v>Transportation</v>
      </c>
      <c r="I468" s="33"/>
      <c r="J468" s="33"/>
      <c r="K468" s="33"/>
    </row>
    <row r="469">
      <c r="A469" s="33" t="str">
        <f>IFERROR(__xludf.DUMMYFUNCTION("""COMPUTED_VALUE"""),"Debt")</f>
        <v>Debt</v>
      </c>
      <c r="B469" s="33" t="str">
        <f>IFERROR(__xludf.DUMMYFUNCTION("""COMPUTED_VALUE"""),"Groceries")</f>
        <v>Groceries</v>
      </c>
      <c r="C469" s="33" t="str">
        <f>IFERROR(__xludf.DUMMYFUNCTION("""COMPUTED_VALUE"""),"Healthcare")</f>
        <v>Healthcare</v>
      </c>
      <c r="D469" s="33" t="str">
        <f>IFERROR(__xludf.DUMMYFUNCTION("""COMPUTED_VALUE"""),"Household Items")</f>
        <v>Household Items</v>
      </c>
      <c r="E469" s="33" t="str">
        <f>IFERROR(__xludf.DUMMYFUNCTION("""COMPUTED_VALUE"""),"Housing")</f>
        <v>Housing</v>
      </c>
      <c r="F469" s="33" t="str">
        <f>IFERROR(__xludf.DUMMYFUNCTION("""COMPUTED_VALUE"""),"Miscellaneous")</f>
        <v>Miscellaneous</v>
      </c>
      <c r="G469" s="33" t="str">
        <f>IFERROR(__xludf.DUMMYFUNCTION("""COMPUTED_VALUE"""),"Pet")</f>
        <v>Pet</v>
      </c>
      <c r="H469" s="33" t="str">
        <f>IFERROR(__xludf.DUMMYFUNCTION("""COMPUTED_VALUE"""),"Transportation")</f>
        <v>Transportation</v>
      </c>
      <c r="I469" s="33"/>
      <c r="J469" s="33"/>
      <c r="K469" s="33"/>
    </row>
    <row r="470">
      <c r="A470" s="33" t="str">
        <f>IFERROR(__xludf.DUMMYFUNCTION("""COMPUTED_VALUE"""),"Debt")</f>
        <v>Debt</v>
      </c>
      <c r="B470" s="33" t="str">
        <f>IFERROR(__xludf.DUMMYFUNCTION("""COMPUTED_VALUE"""),"Groceries")</f>
        <v>Groceries</v>
      </c>
      <c r="C470" s="33" t="str">
        <f>IFERROR(__xludf.DUMMYFUNCTION("""COMPUTED_VALUE"""),"Healthcare")</f>
        <v>Healthcare</v>
      </c>
      <c r="D470" s="33" t="str">
        <f>IFERROR(__xludf.DUMMYFUNCTION("""COMPUTED_VALUE"""),"Household Items")</f>
        <v>Household Items</v>
      </c>
      <c r="E470" s="33" t="str">
        <f>IFERROR(__xludf.DUMMYFUNCTION("""COMPUTED_VALUE"""),"Housing")</f>
        <v>Housing</v>
      </c>
      <c r="F470" s="33" t="str">
        <f>IFERROR(__xludf.DUMMYFUNCTION("""COMPUTED_VALUE"""),"Miscellaneous")</f>
        <v>Miscellaneous</v>
      </c>
      <c r="G470" s="33" t="str">
        <f>IFERROR(__xludf.DUMMYFUNCTION("""COMPUTED_VALUE"""),"Pet")</f>
        <v>Pet</v>
      </c>
      <c r="H470" s="33" t="str">
        <f>IFERROR(__xludf.DUMMYFUNCTION("""COMPUTED_VALUE"""),"Transportation")</f>
        <v>Transportation</v>
      </c>
      <c r="I470" s="33"/>
      <c r="J470" s="33"/>
      <c r="K470" s="33"/>
    </row>
    <row r="471">
      <c r="A471" s="33" t="str">
        <f>IFERROR(__xludf.DUMMYFUNCTION("""COMPUTED_VALUE"""),"Debt")</f>
        <v>Debt</v>
      </c>
      <c r="B471" s="33" t="str">
        <f>IFERROR(__xludf.DUMMYFUNCTION("""COMPUTED_VALUE"""),"Groceries")</f>
        <v>Groceries</v>
      </c>
      <c r="C471" s="33" t="str">
        <f>IFERROR(__xludf.DUMMYFUNCTION("""COMPUTED_VALUE"""),"Healthcare")</f>
        <v>Healthcare</v>
      </c>
      <c r="D471" s="33" t="str">
        <f>IFERROR(__xludf.DUMMYFUNCTION("""COMPUTED_VALUE"""),"Household Items")</f>
        <v>Household Items</v>
      </c>
      <c r="E471" s="33" t="str">
        <f>IFERROR(__xludf.DUMMYFUNCTION("""COMPUTED_VALUE"""),"Housing")</f>
        <v>Housing</v>
      </c>
      <c r="F471" s="33" t="str">
        <f>IFERROR(__xludf.DUMMYFUNCTION("""COMPUTED_VALUE"""),"Miscellaneous")</f>
        <v>Miscellaneous</v>
      </c>
      <c r="G471" s="33" t="str">
        <f>IFERROR(__xludf.DUMMYFUNCTION("""COMPUTED_VALUE"""),"Pet")</f>
        <v>Pet</v>
      </c>
      <c r="H471" s="33" t="str">
        <f>IFERROR(__xludf.DUMMYFUNCTION("""COMPUTED_VALUE"""),"Transportation")</f>
        <v>Transportation</v>
      </c>
      <c r="I471" s="33"/>
      <c r="J471" s="33"/>
      <c r="K471" s="33"/>
    </row>
    <row r="472">
      <c r="A472" s="33" t="str">
        <f>IFERROR(__xludf.DUMMYFUNCTION("""COMPUTED_VALUE"""),"Debt")</f>
        <v>Debt</v>
      </c>
      <c r="B472" s="33" t="str">
        <f>IFERROR(__xludf.DUMMYFUNCTION("""COMPUTED_VALUE"""),"Groceries")</f>
        <v>Groceries</v>
      </c>
      <c r="C472" s="33" t="str">
        <f>IFERROR(__xludf.DUMMYFUNCTION("""COMPUTED_VALUE"""),"Healthcare")</f>
        <v>Healthcare</v>
      </c>
      <c r="D472" s="33" t="str">
        <f>IFERROR(__xludf.DUMMYFUNCTION("""COMPUTED_VALUE"""),"Household Items")</f>
        <v>Household Items</v>
      </c>
      <c r="E472" s="33" t="str">
        <f>IFERROR(__xludf.DUMMYFUNCTION("""COMPUTED_VALUE"""),"Housing")</f>
        <v>Housing</v>
      </c>
      <c r="F472" s="33" t="str">
        <f>IFERROR(__xludf.DUMMYFUNCTION("""COMPUTED_VALUE"""),"Miscellaneous")</f>
        <v>Miscellaneous</v>
      </c>
      <c r="G472" s="33" t="str">
        <f>IFERROR(__xludf.DUMMYFUNCTION("""COMPUTED_VALUE"""),"Pet")</f>
        <v>Pet</v>
      </c>
      <c r="H472" s="33" t="str">
        <f>IFERROR(__xludf.DUMMYFUNCTION("""COMPUTED_VALUE"""),"Transportation")</f>
        <v>Transportation</v>
      </c>
      <c r="I472" s="33"/>
      <c r="J472" s="33"/>
      <c r="K472" s="33"/>
    </row>
    <row r="473">
      <c r="A473" s="33" t="str">
        <f>IFERROR(__xludf.DUMMYFUNCTION("""COMPUTED_VALUE"""),"Debt")</f>
        <v>Debt</v>
      </c>
      <c r="B473" s="33" t="str">
        <f>IFERROR(__xludf.DUMMYFUNCTION("""COMPUTED_VALUE"""),"Groceries")</f>
        <v>Groceries</v>
      </c>
      <c r="C473" s="33" t="str">
        <f>IFERROR(__xludf.DUMMYFUNCTION("""COMPUTED_VALUE"""),"Healthcare")</f>
        <v>Healthcare</v>
      </c>
      <c r="D473" s="33" t="str">
        <f>IFERROR(__xludf.DUMMYFUNCTION("""COMPUTED_VALUE"""),"Household Items")</f>
        <v>Household Items</v>
      </c>
      <c r="E473" s="33" t="str">
        <f>IFERROR(__xludf.DUMMYFUNCTION("""COMPUTED_VALUE"""),"Housing")</f>
        <v>Housing</v>
      </c>
      <c r="F473" s="33" t="str">
        <f>IFERROR(__xludf.DUMMYFUNCTION("""COMPUTED_VALUE"""),"Miscellaneous")</f>
        <v>Miscellaneous</v>
      </c>
      <c r="G473" s="33" t="str">
        <f>IFERROR(__xludf.DUMMYFUNCTION("""COMPUTED_VALUE"""),"Pet")</f>
        <v>Pet</v>
      </c>
      <c r="H473" s="33" t="str">
        <f>IFERROR(__xludf.DUMMYFUNCTION("""COMPUTED_VALUE"""),"Transportation")</f>
        <v>Transportation</v>
      </c>
      <c r="I473" s="33"/>
      <c r="J473" s="33"/>
      <c r="K473" s="33"/>
    </row>
    <row r="474">
      <c r="A474" s="33" t="str">
        <f>IFERROR(__xludf.DUMMYFUNCTION("""COMPUTED_VALUE"""),"Debt")</f>
        <v>Debt</v>
      </c>
      <c r="B474" s="33" t="str">
        <f>IFERROR(__xludf.DUMMYFUNCTION("""COMPUTED_VALUE"""),"Groceries")</f>
        <v>Groceries</v>
      </c>
      <c r="C474" s="33" t="str">
        <f>IFERROR(__xludf.DUMMYFUNCTION("""COMPUTED_VALUE"""),"Healthcare")</f>
        <v>Healthcare</v>
      </c>
      <c r="D474" s="33" t="str">
        <f>IFERROR(__xludf.DUMMYFUNCTION("""COMPUTED_VALUE"""),"Household Items")</f>
        <v>Household Items</v>
      </c>
      <c r="E474" s="33" t="str">
        <f>IFERROR(__xludf.DUMMYFUNCTION("""COMPUTED_VALUE"""),"Housing")</f>
        <v>Housing</v>
      </c>
      <c r="F474" s="33" t="str">
        <f>IFERROR(__xludf.DUMMYFUNCTION("""COMPUTED_VALUE"""),"Miscellaneous")</f>
        <v>Miscellaneous</v>
      </c>
      <c r="G474" s="33" t="str">
        <f>IFERROR(__xludf.DUMMYFUNCTION("""COMPUTED_VALUE"""),"Pet")</f>
        <v>Pet</v>
      </c>
      <c r="H474" s="33" t="str">
        <f>IFERROR(__xludf.DUMMYFUNCTION("""COMPUTED_VALUE"""),"Transportation")</f>
        <v>Transportation</v>
      </c>
      <c r="I474" s="33"/>
      <c r="J474" s="33"/>
      <c r="K474" s="33"/>
    </row>
    <row r="475">
      <c r="A475" s="33" t="str">
        <f>IFERROR(__xludf.DUMMYFUNCTION("""COMPUTED_VALUE"""),"Debt")</f>
        <v>Debt</v>
      </c>
      <c r="B475" s="33" t="str">
        <f>IFERROR(__xludf.DUMMYFUNCTION("""COMPUTED_VALUE"""),"Groceries")</f>
        <v>Groceries</v>
      </c>
      <c r="C475" s="33" t="str">
        <f>IFERROR(__xludf.DUMMYFUNCTION("""COMPUTED_VALUE"""),"Healthcare")</f>
        <v>Healthcare</v>
      </c>
      <c r="D475" s="33" t="str">
        <f>IFERROR(__xludf.DUMMYFUNCTION("""COMPUTED_VALUE"""),"Household Items")</f>
        <v>Household Items</v>
      </c>
      <c r="E475" s="33" t="str">
        <f>IFERROR(__xludf.DUMMYFUNCTION("""COMPUTED_VALUE"""),"Housing")</f>
        <v>Housing</v>
      </c>
      <c r="F475" s="33" t="str">
        <f>IFERROR(__xludf.DUMMYFUNCTION("""COMPUTED_VALUE"""),"Miscellaneous")</f>
        <v>Miscellaneous</v>
      </c>
      <c r="G475" s="33" t="str">
        <f>IFERROR(__xludf.DUMMYFUNCTION("""COMPUTED_VALUE"""),"Pet")</f>
        <v>Pet</v>
      </c>
      <c r="H475" s="33" t="str">
        <f>IFERROR(__xludf.DUMMYFUNCTION("""COMPUTED_VALUE"""),"Transportation")</f>
        <v>Transportation</v>
      </c>
      <c r="I475" s="33"/>
      <c r="J475" s="33"/>
      <c r="K475" s="33"/>
    </row>
    <row r="476">
      <c r="A476" s="33" t="str">
        <f>IFERROR(__xludf.DUMMYFUNCTION("""COMPUTED_VALUE"""),"Cashback")</f>
        <v>Cashback</v>
      </c>
      <c r="B476" s="33" t="str">
        <f>IFERROR(__xludf.DUMMYFUNCTION("""COMPUTED_VALUE"""),"Investment Returns")</f>
        <v>Investment Returns</v>
      </c>
      <c r="C476" s="33" t="str">
        <f>IFERROR(__xludf.DUMMYFUNCTION("""COMPUTED_VALUE"""),"Paycheck")</f>
        <v>Paycheck</v>
      </c>
      <c r="D476" s="33" t="str">
        <f>IFERROR(__xludf.DUMMYFUNCTION("""COMPUTED_VALUE"""),"Reimbursement")</f>
        <v>Reimbursement</v>
      </c>
      <c r="E476" s="33" t="str">
        <f>IFERROR(__xludf.DUMMYFUNCTION("""COMPUTED_VALUE"""),"Rewards")</f>
        <v>Rewards</v>
      </c>
      <c r="F476" s="33"/>
      <c r="G476" s="33"/>
      <c r="H476" s="33"/>
      <c r="I476" s="33"/>
      <c r="J476" s="33"/>
      <c r="K476" s="33"/>
    </row>
    <row r="477">
      <c r="A477" s="33" t="str">
        <f>IFERROR(__xludf.DUMMYFUNCTION("""COMPUTED_VALUE"""),"Deposit")</f>
        <v>Deposit</v>
      </c>
      <c r="B477" s="33" t="str">
        <f>IFERROR(__xludf.DUMMYFUNCTION("""COMPUTED_VALUE"""),"Withdrawal")</f>
        <v>Withdrawal</v>
      </c>
      <c r="C477" s="33"/>
      <c r="D477" s="33"/>
      <c r="E477" s="33"/>
      <c r="F477" s="33"/>
      <c r="G477" s="33"/>
      <c r="H477" s="33"/>
      <c r="I477" s="33"/>
      <c r="J477" s="33"/>
      <c r="K477" s="33"/>
    </row>
    <row r="478">
      <c r="A478" s="33" t="str">
        <f>IFERROR(__xludf.DUMMYFUNCTION("""COMPUTED_VALUE"""),"Deposit")</f>
        <v>Deposit</v>
      </c>
      <c r="B478" s="33" t="str">
        <f>IFERROR(__xludf.DUMMYFUNCTION("""COMPUTED_VALUE"""),"Withdrawal")</f>
        <v>Withdrawal</v>
      </c>
      <c r="C478" s="33"/>
      <c r="D478" s="33"/>
      <c r="E478" s="33"/>
      <c r="F478" s="33"/>
      <c r="G478" s="33"/>
      <c r="H478" s="33"/>
      <c r="I478" s="33"/>
      <c r="J478" s="33"/>
      <c r="K478" s="33"/>
    </row>
    <row r="479">
      <c r="A479" s="33" t="str">
        <f>IFERROR(__xludf.DUMMYFUNCTION("""COMPUTED_VALUE"""),"Cashback")</f>
        <v>Cashback</v>
      </c>
      <c r="B479" s="33" t="str">
        <f>IFERROR(__xludf.DUMMYFUNCTION("""COMPUTED_VALUE"""),"Investment Returns")</f>
        <v>Investment Returns</v>
      </c>
      <c r="C479" s="33" t="str">
        <f>IFERROR(__xludf.DUMMYFUNCTION("""COMPUTED_VALUE"""),"Paycheck")</f>
        <v>Paycheck</v>
      </c>
      <c r="D479" s="33" t="str">
        <f>IFERROR(__xludf.DUMMYFUNCTION("""COMPUTED_VALUE"""),"Reimbursement")</f>
        <v>Reimbursement</v>
      </c>
      <c r="E479" s="33" t="str">
        <f>IFERROR(__xludf.DUMMYFUNCTION("""COMPUTED_VALUE"""),"Rewards")</f>
        <v>Rewards</v>
      </c>
      <c r="F479" s="33"/>
      <c r="G479" s="33"/>
      <c r="H479" s="33"/>
      <c r="I479" s="33"/>
      <c r="J479" s="33"/>
      <c r="K479" s="33"/>
    </row>
    <row r="480">
      <c r="A480" s="33" t="str">
        <f>IFERROR(__xludf.DUMMYFUNCTION("""COMPUTED_VALUE"""),"Debt")</f>
        <v>Debt</v>
      </c>
      <c r="B480" s="33" t="str">
        <f>IFERROR(__xludf.DUMMYFUNCTION("""COMPUTED_VALUE"""),"Groceries")</f>
        <v>Groceries</v>
      </c>
      <c r="C480" s="33" t="str">
        <f>IFERROR(__xludf.DUMMYFUNCTION("""COMPUTED_VALUE"""),"Healthcare")</f>
        <v>Healthcare</v>
      </c>
      <c r="D480" s="33" t="str">
        <f>IFERROR(__xludf.DUMMYFUNCTION("""COMPUTED_VALUE"""),"Household Items")</f>
        <v>Household Items</v>
      </c>
      <c r="E480" s="33" t="str">
        <f>IFERROR(__xludf.DUMMYFUNCTION("""COMPUTED_VALUE"""),"Housing")</f>
        <v>Housing</v>
      </c>
      <c r="F480" s="33" t="str">
        <f>IFERROR(__xludf.DUMMYFUNCTION("""COMPUTED_VALUE"""),"Miscellaneous")</f>
        <v>Miscellaneous</v>
      </c>
      <c r="G480" s="33" t="str">
        <f>IFERROR(__xludf.DUMMYFUNCTION("""COMPUTED_VALUE"""),"Pet")</f>
        <v>Pet</v>
      </c>
      <c r="H480" s="33" t="str">
        <f>IFERROR(__xludf.DUMMYFUNCTION("""COMPUTED_VALUE"""),"Transportation")</f>
        <v>Transportation</v>
      </c>
      <c r="I480" s="33"/>
      <c r="J480" s="33"/>
      <c r="K480" s="33"/>
    </row>
    <row r="481">
      <c r="A481" s="33" t="str">
        <f>IFERROR(__xludf.DUMMYFUNCTION("""COMPUTED_VALUE"""),"Debt")</f>
        <v>Debt</v>
      </c>
      <c r="B481" s="33" t="str">
        <f>IFERROR(__xludf.DUMMYFUNCTION("""COMPUTED_VALUE"""),"Groceries")</f>
        <v>Groceries</v>
      </c>
      <c r="C481" s="33" t="str">
        <f>IFERROR(__xludf.DUMMYFUNCTION("""COMPUTED_VALUE"""),"Healthcare")</f>
        <v>Healthcare</v>
      </c>
      <c r="D481" s="33" t="str">
        <f>IFERROR(__xludf.DUMMYFUNCTION("""COMPUTED_VALUE"""),"Household Items")</f>
        <v>Household Items</v>
      </c>
      <c r="E481" s="33" t="str">
        <f>IFERROR(__xludf.DUMMYFUNCTION("""COMPUTED_VALUE"""),"Housing")</f>
        <v>Housing</v>
      </c>
      <c r="F481" s="33" t="str">
        <f>IFERROR(__xludf.DUMMYFUNCTION("""COMPUTED_VALUE"""),"Miscellaneous")</f>
        <v>Miscellaneous</v>
      </c>
      <c r="G481" s="33" t="str">
        <f>IFERROR(__xludf.DUMMYFUNCTION("""COMPUTED_VALUE"""),"Pet")</f>
        <v>Pet</v>
      </c>
      <c r="H481" s="33" t="str">
        <f>IFERROR(__xludf.DUMMYFUNCTION("""COMPUTED_VALUE"""),"Transportation")</f>
        <v>Transportation</v>
      </c>
      <c r="I481" s="33"/>
      <c r="J481" s="33"/>
      <c r="K481" s="33"/>
    </row>
    <row r="482">
      <c r="A482" s="33" t="str">
        <f>IFERROR(__xludf.DUMMYFUNCTION("""COMPUTED_VALUE"""),"Debt")</f>
        <v>Debt</v>
      </c>
      <c r="B482" s="33" t="str">
        <f>IFERROR(__xludf.DUMMYFUNCTION("""COMPUTED_VALUE"""),"Groceries")</f>
        <v>Groceries</v>
      </c>
      <c r="C482" s="33" t="str">
        <f>IFERROR(__xludf.DUMMYFUNCTION("""COMPUTED_VALUE"""),"Healthcare")</f>
        <v>Healthcare</v>
      </c>
      <c r="D482" s="33" t="str">
        <f>IFERROR(__xludf.DUMMYFUNCTION("""COMPUTED_VALUE"""),"Household Items")</f>
        <v>Household Items</v>
      </c>
      <c r="E482" s="33" t="str">
        <f>IFERROR(__xludf.DUMMYFUNCTION("""COMPUTED_VALUE"""),"Housing")</f>
        <v>Housing</v>
      </c>
      <c r="F482" s="33" t="str">
        <f>IFERROR(__xludf.DUMMYFUNCTION("""COMPUTED_VALUE"""),"Miscellaneous")</f>
        <v>Miscellaneous</v>
      </c>
      <c r="G482" s="33" t="str">
        <f>IFERROR(__xludf.DUMMYFUNCTION("""COMPUTED_VALUE"""),"Pet")</f>
        <v>Pet</v>
      </c>
      <c r="H482" s="33" t="str">
        <f>IFERROR(__xludf.DUMMYFUNCTION("""COMPUTED_VALUE"""),"Transportation")</f>
        <v>Transportation</v>
      </c>
      <c r="I482" s="33"/>
      <c r="J482" s="33"/>
      <c r="K482" s="33"/>
    </row>
    <row r="483">
      <c r="A483" s="33" t="str">
        <f>IFERROR(__xludf.DUMMYFUNCTION("""COMPUTED_VALUE"""),"Debt")</f>
        <v>Debt</v>
      </c>
      <c r="B483" s="33" t="str">
        <f>IFERROR(__xludf.DUMMYFUNCTION("""COMPUTED_VALUE"""),"Groceries")</f>
        <v>Groceries</v>
      </c>
      <c r="C483" s="33" t="str">
        <f>IFERROR(__xludf.DUMMYFUNCTION("""COMPUTED_VALUE"""),"Healthcare")</f>
        <v>Healthcare</v>
      </c>
      <c r="D483" s="33" t="str">
        <f>IFERROR(__xludf.DUMMYFUNCTION("""COMPUTED_VALUE"""),"Household Items")</f>
        <v>Household Items</v>
      </c>
      <c r="E483" s="33" t="str">
        <f>IFERROR(__xludf.DUMMYFUNCTION("""COMPUTED_VALUE"""),"Housing")</f>
        <v>Housing</v>
      </c>
      <c r="F483" s="33" t="str">
        <f>IFERROR(__xludf.DUMMYFUNCTION("""COMPUTED_VALUE"""),"Miscellaneous")</f>
        <v>Miscellaneous</v>
      </c>
      <c r="G483" s="33" t="str">
        <f>IFERROR(__xludf.DUMMYFUNCTION("""COMPUTED_VALUE"""),"Pet")</f>
        <v>Pet</v>
      </c>
      <c r="H483" s="33" t="str">
        <f>IFERROR(__xludf.DUMMYFUNCTION("""COMPUTED_VALUE"""),"Transportation")</f>
        <v>Transportation</v>
      </c>
      <c r="I483" s="33"/>
      <c r="J483" s="33"/>
      <c r="K483" s="33"/>
    </row>
    <row r="484">
      <c r="A484" s="33" t="str">
        <f>IFERROR(__xludf.DUMMYFUNCTION("""COMPUTED_VALUE"""),"Debt")</f>
        <v>Debt</v>
      </c>
      <c r="B484" s="33" t="str">
        <f>IFERROR(__xludf.DUMMYFUNCTION("""COMPUTED_VALUE"""),"Groceries")</f>
        <v>Groceries</v>
      </c>
      <c r="C484" s="33" t="str">
        <f>IFERROR(__xludf.DUMMYFUNCTION("""COMPUTED_VALUE"""),"Healthcare")</f>
        <v>Healthcare</v>
      </c>
      <c r="D484" s="33" t="str">
        <f>IFERROR(__xludf.DUMMYFUNCTION("""COMPUTED_VALUE"""),"Household Items")</f>
        <v>Household Items</v>
      </c>
      <c r="E484" s="33" t="str">
        <f>IFERROR(__xludf.DUMMYFUNCTION("""COMPUTED_VALUE"""),"Housing")</f>
        <v>Housing</v>
      </c>
      <c r="F484" s="33" t="str">
        <f>IFERROR(__xludf.DUMMYFUNCTION("""COMPUTED_VALUE"""),"Miscellaneous")</f>
        <v>Miscellaneous</v>
      </c>
      <c r="G484" s="33" t="str">
        <f>IFERROR(__xludf.DUMMYFUNCTION("""COMPUTED_VALUE"""),"Pet")</f>
        <v>Pet</v>
      </c>
      <c r="H484" s="33" t="str">
        <f>IFERROR(__xludf.DUMMYFUNCTION("""COMPUTED_VALUE"""),"Transportation")</f>
        <v>Transportation</v>
      </c>
      <c r="I484" s="33"/>
      <c r="J484" s="33"/>
      <c r="K484" s="33"/>
    </row>
    <row r="485">
      <c r="A485" s="33" t="str">
        <f>IFERROR(__xludf.DUMMYFUNCTION("""COMPUTED_VALUE"""),"Debt")</f>
        <v>Debt</v>
      </c>
      <c r="B485" s="33" t="str">
        <f>IFERROR(__xludf.DUMMYFUNCTION("""COMPUTED_VALUE"""),"Groceries")</f>
        <v>Groceries</v>
      </c>
      <c r="C485" s="33" t="str">
        <f>IFERROR(__xludf.DUMMYFUNCTION("""COMPUTED_VALUE"""),"Healthcare")</f>
        <v>Healthcare</v>
      </c>
      <c r="D485" s="33" t="str">
        <f>IFERROR(__xludf.DUMMYFUNCTION("""COMPUTED_VALUE"""),"Household Items")</f>
        <v>Household Items</v>
      </c>
      <c r="E485" s="33" t="str">
        <f>IFERROR(__xludf.DUMMYFUNCTION("""COMPUTED_VALUE"""),"Housing")</f>
        <v>Housing</v>
      </c>
      <c r="F485" s="33" t="str">
        <f>IFERROR(__xludf.DUMMYFUNCTION("""COMPUTED_VALUE"""),"Miscellaneous")</f>
        <v>Miscellaneous</v>
      </c>
      <c r="G485" s="33" t="str">
        <f>IFERROR(__xludf.DUMMYFUNCTION("""COMPUTED_VALUE"""),"Pet")</f>
        <v>Pet</v>
      </c>
      <c r="H485" s="33" t="str">
        <f>IFERROR(__xludf.DUMMYFUNCTION("""COMPUTED_VALUE"""),"Transportation")</f>
        <v>Transportation</v>
      </c>
      <c r="I485" s="33"/>
      <c r="J485" s="33"/>
      <c r="K485" s="33"/>
    </row>
    <row r="486">
      <c r="A486" s="33" t="str">
        <f>IFERROR(__xludf.DUMMYFUNCTION("""COMPUTED_VALUE"""),"Debt")</f>
        <v>Debt</v>
      </c>
      <c r="B486" s="33" t="str">
        <f>IFERROR(__xludf.DUMMYFUNCTION("""COMPUTED_VALUE"""),"Groceries")</f>
        <v>Groceries</v>
      </c>
      <c r="C486" s="33" t="str">
        <f>IFERROR(__xludf.DUMMYFUNCTION("""COMPUTED_VALUE"""),"Healthcare")</f>
        <v>Healthcare</v>
      </c>
      <c r="D486" s="33" t="str">
        <f>IFERROR(__xludf.DUMMYFUNCTION("""COMPUTED_VALUE"""),"Household Items")</f>
        <v>Household Items</v>
      </c>
      <c r="E486" s="33" t="str">
        <f>IFERROR(__xludf.DUMMYFUNCTION("""COMPUTED_VALUE"""),"Housing")</f>
        <v>Housing</v>
      </c>
      <c r="F486" s="33" t="str">
        <f>IFERROR(__xludf.DUMMYFUNCTION("""COMPUTED_VALUE"""),"Miscellaneous")</f>
        <v>Miscellaneous</v>
      </c>
      <c r="G486" s="33" t="str">
        <f>IFERROR(__xludf.DUMMYFUNCTION("""COMPUTED_VALUE"""),"Pet")</f>
        <v>Pet</v>
      </c>
      <c r="H486" s="33" t="str">
        <f>IFERROR(__xludf.DUMMYFUNCTION("""COMPUTED_VALUE"""),"Transportation")</f>
        <v>Transportation</v>
      </c>
      <c r="I486" s="33"/>
      <c r="J486" s="33"/>
      <c r="K486" s="33"/>
    </row>
    <row r="487">
      <c r="A487" s="33" t="str">
        <f>IFERROR(__xludf.DUMMYFUNCTION("""COMPUTED_VALUE"""),"Debt")</f>
        <v>Debt</v>
      </c>
      <c r="B487" s="33" t="str">
        <f>IFERROR(__xludf.DUMMYFUNCTION("""COMPUTED_VALUE"""),"Groceries")</f>
        <v>Groceries</v>
      </c>
      <c r="C487" s="33" t="str">
        <f>IFERROR(__xludf.DUMMYFUNCTION("""COMPUTED_VALUE"""),"Healthcare")</f>
        <v>Healthcare</v>
      </c>
      <c r="D487" s="33" t="str">
        <f>IFERROR(__xludf.DUMMYFUNCTION("""COMPUTED_VALUE"""),"Household Items")</f>
        <v>Household Items</v>
      </c>
      <c r="E487" s="33" t="str">
        <f>IFERROR(__xludf.DUMMYFUNCTION("""COMPUTED_VALUE"""),"Housing")</f>
        <v>Housing</v>
      </c>
      <c r="F487" s="33" t="str">
        <f>IFERROR(__xludf.DUMMYFUNCTION("""COMPUTED_VALUE"""),"Miscellaneous")</f>
        <v>Miscellaneous</v>
      </c>
      <c r="G487" s="33" t="str">
        <f>IFERROR(__xludf.DUMMYFUNCTION("""COMPUTED_VALUE"""),"Pet")</f>
        <v>Pet</v>
      </c>
      <c r="H487" s="33" t="str">
        <f>IFERROR(__xludf.DUMMYFUNCTION("""COMPUTED_VALUE"""),"Transportation")</f>
        <v>Transportation</v>
      </c>
      <c r="I487" s="33"/>
      <c r="J487" s="33"/>
      <c r="K487" s="33"/>
    </row>
    <row r="488">
      <c r="A488" s="33" t="str">
        <f>IFERROR(__xludf.DUMMYFUNCTION("""COMPUTED_VALUE"""),"Debt")</f>
        <v>Debt</v>
      </c>
      <c r="B488" s="33" t="str">
        <f>IFERROR(__xludf.DUMMYFUNCTION("""COMPUTED_VALUE"""),"Groceries")</f>
        <v>Groceries</v>
      </c>
      <c r="C488" s="33" t="str">
        <f>IFERROR(__xludf.DUMMYFUNCTION("""COMPUTED_VALUE"""),"Healthcare")</f>
        <v>Healthcare</v>
      </c>
      <c r="D488" s="33" t="str">
        <f>IFERROR(__xludf.DUMMYFUNCTION("""COMPUTED_VALUE"""),"Household Items")</f>
        <v>Household Items</v>
      </c>
      <c r="E488" s="33" t="str">
        <f>IFERROR(__xludf.DUMMYFUNCTION("""COMPUTED_VALUE"""),"Housing")</f>
        <v>Housing</v>
      </c>
      <c r="F488" s="33" t="str">
        <f>IFERROR(__xludf.DUMMYFUNCTION("""COMPUTED_VALUE"""),"Miscellaneous")</f>
        <v>Miscellaneous</v>
      </c>
      <c r="G488" s="33" t="str">
        <f>IFERROR(__xludf.DUMMYFUNCTION("""COMPUTED_VALUE"""),"Pet")</f>
        <v>Pet</v>
      </c>
      <c r="H488" s="33" t="str">
        <f>IFERROR(__xludf.DUMMYFUNCTION("""COMPUTED_VALUE"""),"Transportation")</f>
        <v>Transportation</v>
      </c>
      <c r="I488" s="33"/>
      <c r="J488" s="33"/>
      <c r="K488" s="33"/>
    </row>
    <row r="489">
      <c r="A489" s="33" t="str">
        <f>IFERROR(__xludf.DUMMYFUNCTION("""COMPUTED_VALUE"""),"Debt")</f>
        <v>Debt</v>
      </c>
      <c r="B489" s="33" t="str">
        <f>IFERROR(__xludf.DUMMYFUNCTION("""COMPUTED_VALUE"""),"Groceries")</f>
        <v>Groceries</v>
      </c>
      <c r="C489" s="33" t="str">
        <f>IFERROR(__xludf.DUMMYFUNCTION("""COMPUTED_VALUE"""),"Healthcare")</f>
        <v>Healthcare</v>
      </c>
      <c r="D489" s="33" t="str">
        <f>IFERROR(__xludf.DUMMYFUNCTION("""COMPUTED_VALUE"""),"Household Items")</f>
        <v>Household Items</v>
      </c>
      <c r="E489" s="33" t="str">
        <f>IFERROR(__xludf.DUMMYFUNCTION("""COMPUTED_VALUE"""),"Housing")</f>
        <v>Housing</v>
      </c>
      <c r="F489" s="33" t="str">
        <f>IFERROR(__xludf.DUMMYFUNCTION("""COMPUTED_VALUE"""),"Miscellaneous")</f>
        <v>Miscellaneous</v>
      </c>
      <c r="G489" s="33" t="str">
        <f>IFERROR(__xludf.DUMMYFUNCTION("""COMPUTED_VALUE"""),"Pet")</f>
        <v>Pet</v>
      </c>
      <c r="H489" s="33" t="str">
        <f>IFERROR(__xludf.DUMMYFUNCTION("""COMPUTED_VALUE"""),"Transportation")</f>
        <v>Transportation</v>
      </c>
      <c r="I489" s="33"/>
      <c r="J489" s="33"/>
      <c r="K489" s="33"/>
    </row>
    <row r="490">
      <c r="A490" s="33" t="str">
        <f>IFERROR(__xludf.DUMMYFUNCTION("""COMPUTED_VALUE"""),"Debt")</f>
        <v>Debt</v>
      </c>
      <c r="B490" s="33" t="str">
        <f>IFERROR(__xludf.DUMMYFUNCTION("""COMPUTED_VALUE"""),"Groceries")</f>
        <v>Groceries</v>
      </c>
      <c r="C490" s="33" t="str">
        <f>IFERROR(__xludf.DUMMYFUNCTION("""COMPUTED_VALUE"""),"Healthcare")</f>
        <v>Healthcare</v>
      </c>
      <c r="D490" s="33" t="str">
        <f>IFERROR(__xludf.DUMMYFUNCTION("""COMPUTED_VALUE"""),"Household Items")</f>
        <v>Household Items</v>
      </c>
      <c r="E490" s="33" t="str">
        <f>IFERROR(__xludf.DUMMYFUNCTION("""COMPUTED_VALUE"""),"Housing")</f>
        <v>Housing</v>
      </c>
      <c r="F490" s="33" t="str">
        <f>IFERROR(__xludf.DUMMYFUNCTION("""COMPUTED_VALUE"""),"Miscellaneous")</f>
        <v>Miscellaneous</v>
      </c>
      <c r="G490" s="33" t="str">
        <f>IFERROR(__xludf.DUMMYFUNCTION("""COMPUTED_VALUE"""),"Pet")</f>
        <v>Pet</v>
      </c>
      <c r="H490" s="33" t="str">
        <f>IFERROR(__xludf.DUMMYFUNCTION("""COMPUTED_VALUE"""),"Transportation")</f>
        <v>Transportation</v>
      </c>
      <c r="I490" s="33"/>
      <c r="J490" s="33"/>
      <c r="K490" s="33"/>
    </row>
    <row r="491">
      <c r="A491" s="33" t="str">
        <f>IFERROR(__xludf.DUMMYFUNCTION("""COMPUTED_VALUE"""),"Debt")</f>
        <v>Debt</v>
      </c>
      <c r="B491" s="33" t="str">
        <f>IFERROR(__xludf.DUMMYFUNCTION("""COMPUTED_VALUE"""),"Groceries")</f>
        <v>Groceries</v>
      </c>
      <c r="C491" s="33" t="str">
        <f>IFERROR(__xludf.DUMMYFUNCTION("""COMPUTED_VALUE"""),"Healthcare")</f>
        <v>Healthcare</v>
      </c>
      <c r="D491" s="33" t="str">
        <f>IFERROR(__xludf.DUMMYFUNCTION("""COMPUTED_VALUE"""),"Household Items")</f>
        <v>Household Items</v>
      </c>
      <c r="E491" s="33" t="str">
        <f>IFERROR(__xludf.DUMMYFUNCTION("""COMPUTED_VALUE"""),"Housing")</f>
        <v>Housing</v>
      </c>
      <c r="F491" s="33" t="str">
        <f>IFERROR(__xludf.DUMMYFUNCTION("""COMPUTED_VALUE"""),"Miscellaneous")</f>
        <v>Miscellaneous</v>
      </c>
      <c r="G491" s="33" t="str">
        <f>IFERROR(__xludf.DUMMYFUNCTION("""COMPUTED_VALUE"""),"Pet")</f>
        <v>Pet</v>
      </c>
      <c r="H491" s="33" t="str">
        <f>IFERROR(__xludf.DUMMYFUNCTION("""COMPUTED_VALUE"""),"Transportation")</f>
        <v>Transportation</v>
      </c>
      <c r="I491" s="33"/>
      <c r="J491" s="33"/>
      <c r="K491" s="33"/>
    </row>
    <row r="492">
      <c r="A492" s="33" t="str">
        <f>IFERROR(__xludf.DUMMYFUNCTION("""COMPUTED_VALUE"""),"Cashback")</f>
        <v>Cashback</v>
      </c>
      <c r="B492" s="33" t="str">
        <f>IFERROR(__xludf.DUMMYFUNCTION("""COMPUTED_VALUE"""),"Investment Returns")</f>
        <v>Investment Returns</v>
      </c>
      <c r="C492" s="33" t="str">
        <f>IFERROR(__xludf.DUMMYFUNCTION("""COMPUTED_VALUE"""),"Paycheck")</f>
        <v>Paycheck</v>
      </c>
      <c r="D492" s="33" t="str">
        <f>IFERROR(__xludf.DUMMYFUNCTION("""COMPUTED_VALUE"""),"Reimbursement")</f>
        <v>Reimbursement</v>
      </c>
      <c r="E492" s="33" t="str">
        <f>IFERROR(__xludf.DUMMYFUNCTION("""COMPUTED_VALUE"""),"Rewards")</f>
        <v>Rewards</v>
      </c>
      <c r="F492" s="33"/>
      <c r="G492" s="33"/>
      <c r="H492" s="33"/>
      <c r="I492" s="33"/>
      <c r="J492" s="33"/>
      <c r="K492" s="33"/>
    </row>
    <row r="493">
      <c r="A493" s="33" t="str">
        <f>IFERROR(__xludf.DUMMYFUNCTION("""COMPUTED_VALUE"""),"Cashback")</f>
        <v>Cashback</v>
      </c>
      <c r="B493" s="33" t="str">
        <f>IFERROR(__xludf.DUMMYFUNCTION("""COMPUTED_VALUE"""),"Investment Returns")</f>
        <v>Investment Returns</v>
      </c>
      <c r="C493" s="33" t="str">
        <f>IFERROR(__xludf.DUMMYFUNCTION("""COMPUTED_VALUE"""),"Paycheck")</f>
        <v>Paycheck</v>
      </c>
      <c r="D493" s="33" t="str">
        <f>IFERROR(__xludf.DUMMYFUNCTION("""COMPUTED_VALUE"""),"Reimbursement")</f>
        <v>Reimbursement</v>
      </c>
      <c r="E493" s="33" t="str">
        <f>IFERROR(__xludf.DUMMYFUNCTION("""COMPUTED_VALUE"""),"Rewards")</f>
        <v>Rewards</v>
      </c>
      <c r="F493" s="33"/>
      <c r="G493" s="33"/>
      <c r="H493" s="33"/>
      <c r="I493" s="33"/>
      <c r="J493" s="33"/>
      <c r="K493" s="33"/>
    </row>
    <row r="494">
      <c r="A494" s="33" t="str">
        <f>IFERROR(__xludf.DUMMYFUNCTION("""COMPUTED_VALUE"""),"Car Fund")</f>
        <v>Car Fund</v>
      </c>
      <c r="B494" s="33" t="str">
        <f>IFERROR(__xludf.DUMMYFUNCTION("""COMPUTED_VALUE"""),"Emergency Fund")</f>
        <v>Emergency Fund</v>
      </c>
      <c r="C494" s="33" t="str">
        <f>IFERROR(__xludf.DUMMYFUNCTION("""COMPUTED_VALUE"""),"Family Fund")</f>
        <v>Family Fund</v>
      </c>
      <c r="D494" s="33" t="str">
        <f>IFERROR(__xludf.DUMMYFUNCTION("""COMPUTED_VALUE"""),"Kenji Fund")</f>
        <v>Kenji Fund</v>
      </c>
      <c r="E494" s="33" t="str">
        <f>IFERROR(__xludf.DUMMYFUNCTION("""COMPUTED_VALUE"""),"Mei Fund")</f>
        <v>Mei Fund</v>
      </c>
      <c r="F494" s="33" t="str">
        <f>IFERROR(__xludf.DUMMYFUNCTION("""COMPUTED_VALUE"""),"Pet Fund")</f>
        <v>Pet Fund</v>
      </c>
      <c r="G494" s="33" t="str">
        <f>IFERROR(__xludf.DUMMYFUNCTION("""COMPUTED_VALUE"""),"Vacation Fund")</f>
        <v>Vacation Fund</v>
      </c>
      <c r="H494" s="33"/>
      <c r="I494" s="33"/>
      <c r="J494" s="33"/>
      <c r="K494" s="33"/>
    </row>
    <row r="495">
      <c r="A495" s="33" t="str">
        <f>IFERROR(__xludf.DUMMYFUNCTION("""COMPUTED_VALUE"""),"Deposit")</f>
        <v>Deposit</v>
      </c>
      <c r="B495" s="33" t="str">
        <f>IFERROR(__xludf.DUMMYFUNCTION("""COMPUTED_VALUE"""),"Withdrawal")</f>
        <v>Withdrawal</v>
      </c>
      <c r="C495" s="33"/>
      <c r="D495" s="33"/>
      <c r="E495" s="33"/>
      <c r="F495" s="33"/>
      <c r="G495" s="33"/>
      <c r="H495" s="33"/>
      <c r="I495" s="33"/>
      <c r="J495" s="33"/>
      <c r="K495" s="33"/>
    </row>
    <row r="496">
      <c r="A496" s="33" t="str">
        <f>IFERROR(__xludf.DUMMYFUNCTION("""COMPUTED_VALUE"""),"FHSA")</f>
        <v>FHSA</v>
      </c>
      <c r="B496" s="33" t="str">
        <f>IFERROR(__xludf.DUMMYFUNCTION("""COMPUTED_VALUE"""),"RRSP")</f>
        <v>RRSP</v>
      </c>
      <c r="C496" s="33" t="str">
        <f>IFERROR(__xludf.DUMMYFUNCTION("""COMPUTED_VALUE"""),"TFSA")</f>
        <v>TFSA</v>
      </c>
      <c r="D496" s="33"/>
      <c r="E496" s="33"/>
      <c r="F496" s="33"/>
      <c r="G496" s="33"/>
      <c r="H496" s="33"/>
      <c r="I496" s="33"/>
      <c r="J496" s="33"/>
      <c r="K496" s="33"/>
    </row>
    <row r="497">
      <c r="A497" s="33" t="str">
        <f>IFERROR(__xludf.DUMMYFUNCTION("""COMPUTED_VALUE"""),"Deposit")</f>
        <v>Deposit</v>
      </c>
      <c r="B497" s="33" t="str">
        <f>IFERROR(__xludf.DUMMYFUNCTION("""COMPUTED_VALUE"""),"Withdrawal")</f>
        <v>Withdrawal</v>
      </c>
      <c r="C497" s="33"/>
      <c r="D497" s="33"/>
      <c r="E497" s="33"/>
      <c r="F497" s="33"/>
      <c r="G497" s="33"/>
      <c r="H497" s="33"/>
      <c r="I497" s="33"/>
      <c r="J497" s="33"/>
      <c r="K497" s="33"/>
    </row>
    <row r="498">
      <c r="A498" s="33" t="str">
        <f>IFERROR(__xludf.DUMMYFUNCTION("""COMPUTED_VALUE"""),"FHSA")</f>
        <v>FHSA</v>
      </c>
      <c r="B498" s="33" t="str">
        <f>IFERROR(__xludf.DUMMYFUNCTION("""COMPUTED_VALUE"""),"RRSP")</f>
        <v>RRSP</v>
      </c>
      <c r="C498" s="33" t="str">
        <f>IFERROR(__xludf.DUMMYFUNCTION("""COMPUTED_VALUE"""),"TFSA")</f>
        <v>TFSA</v>
      </c>
      <c r="D498" s="33"/>
      <c r="E498" s="33"/>
      <c r="F498" s="33"/>
      <c r="G498" s="33"/>
      <c r="H498" s="33"/>
      <c r="I498" s="33"/>
      <c r="J498" s="33"/>
      <c r="K498" s="33"/>
    </row>
    <row r="499">
      <c r="A499" s="33" t="str">
        <f>IFERROR(__xludf.DUMMYFUNCTION("""COMPUTED_VALUE"""),"Deposit")</f>
        <v>Deposit</v>
      </c>
      <c r="B499" s="33" t="str">
        <f>IFERROR(__xludf.DUMMYFUNCTION("""COMPUTED_VALUE"""),"Withdrawal")</f>
        <v>Withdrawal</v>
      </c>
      <c r="C499" s="33"/>
      <c r="D499" s="33"/>
      <c r="E499" s="33"/>
      <c r="F499" s="33"/>
      <c r="G499" s="33"/>
      <c r="H499" s="33"/>
      <c r="I499" s="33"/>
      <c r="J499" s="33"/>
      <c r="K499" s="33"/>
    </row>
    <row r="500">
      <c r="A500" s="33" t="str">
        <f>IFERROR(__xludf.DUMMYFUNCTION("""COMPUTED_VALUE"""),"Deposit")</f>
        <v>Deposit</v>
      </c>
      <c r="B500" s="33" t="str">
        <f>IFERROR(__xludf.DUMMYFUNCTION("""COMPUTED_VALUE"""),"Withdrawal")</f>
        <v>Withdrawal</v>
      </c>
      <c r="C500" s="33"/>
      <c r="D500" s="33"/>
      <c r="E500" s="33"/>
      <c r="F500" s="33"/>
      <c r="G500" s="33"/>
      <c r="H500" s="33"/>
      <c r="I500" s="33"/>
      <c r="J500" s="33"/>
      <c r="K500" s="33"/>
    </row>
    <row r="501">
      <c r="A501" s="33" t="str">
        <f>IFERROR(__xludf.DUMMYFUNCTION("""COMPUTED_VALUE"""),"Deposit")</f>
        <v>Deposit</v>
      </c>
      <c r="B501" s="33" t="str">
        <f>IFERROR(__xludf.DUMMYFUNCTION("""COMPUTED_VALUE"""),"Withdrawal")</f>
        <v>Withdrawal</v>
      </c>
      <c r="C501" s="33"/>
      <c r="D501" s="33"/>
      <c r="E501" s="33"/>
      <c r="F501" s="33"/>
      <c r="G501" s="33"/>
      <c r="H501" s="33"/>
      <c r="I501" s="33"/>
      <c r="J501" s="33"/>
      <c r="K501" s="33"/>
    </row>
    <row r="502">
      <c r="A502" s="33" t="str">
        <f>IFERROR(__xludf.DUMMYFUNCTION("""COMPUTED_VALUE"""),"Dining Out")</f>
        <v>Dining Out</v>
      </c>
      <c r="B502" s="33" t="str">
        <f>IFERROR(__xludf.DUMMYFUNCTION("""COMPUTED_VALUE"""),"Entertainment")</f>
        <v>Entertainment</v>
      </c>
      <c r="C502" s="33" t="str">
        <f>IFERROR(__xludf.DUMMYFUNCTION("""COMPUTED_VALUE"""),"Gaming")</f>
        <v>Gaming</v>
      </c>
      <c r="D502" s="33" t="str">
        <f>IFERROR(__xludf.DUMMYFUNCTION("""COMPUTED_VALUE"""),"Gifts")</f>
        <v>Gifts</v>
      </c>
      <c r="E502" s="33" t="str">
        <f>IFERROR(__xludf.DUMMYFUNCTION("""COMPUTED_VALUE"""),"Groceries")</f>
        <v>Groceries</v>
      </c>
      <c r="F502" s="33" t="str">
        <f>IFERROR(__xludf.DUMMYFUNCTION("""COMPUTED_VALUE"""),"Healthcare")</f>
        <v>Healthcare</v>
      </c>
      <c r="G502" s="33" t="str">
        <f>IFERROR(__xludf.DUMMYFUNCTION("""COMPUTED_VALUE"""),"Hobbies")</f>
        <v>Hobbies</v>
      </c>
      <c r="H502" s="33" t="str">
        <f>IFERROR(__xludf.DUMMYFUNCTION("""COMPUTED_VALUE"""),"Household Items")</f>
        <v>Household Items</v>
      </c>
      <c r="I502" s="33" t="str">
        <f>IFERROR(__xludf.DUMMYFUNCTION("""COMPUTED_VALUE"""),"Subscriptions")</f>
        <v>Subscriptions</v>
      </c>
      <c r="J502" s="33" t="str">
        <f>IFERROR(__xludf.DUMMYFUNCTION("""COMPUTED_VALUE"""),"Transportation")</f>
        <v>Transportation</v>
      </c>
      <c r="K502" s="33" t="str">
        <f>IFERROR(__xludf.DUMMYFUNCTION("""COMPUTED_VALUE"""),"Travel")</f>
        <v>Travel</v>
      </c>
    </row>
    <row r="503">
      <c r="A503" s="33" t="str">
        <f>IFERROR(__xludf.DUMMYFUNCTION("""COMPUTED_VALUE"""),"Debt")</f>
        <v>Debt</v>
      </c>
      <c r="B503" s="33" t="str">
        <f>IFERROR(__xludf.DUMMYFUNCTION("""COMPUTED_VALUE"""),"Groceries")</f>
        <v>Groceries</v>
      </c>
      <c r="C503" s="33" t="str">
        <f>IFERROR(__xludf.DUMMYFUNCTION("""COMPUTED_VALUE"""),"Healthcare")</f>
        <v>Healthcare</v>
      </c>
      <c r="D503" s="33" t="str">
        <f>IFERROR(__xludf.DUMMYFUNCTION("""COMPUTED_VALUE"""),"Household Items")</f>
        <v>Household Items</v>
      </c>
      <c r="E503" s="33" t="str">
        <f>IFERROR(__xludf.DUMMYFUNCTION("""COMPUTED_VALUE"""),"Housing")</f>
        <v>Housing</v>
      </c>
      <c r="F503" s="33" t="str">
        <f>IFERROR(__xludf.DUMMYFUNCTION("""COMPUTED_VALUE"""),"Miscellaneous")</f>
        <v>Miscellaneous</v>
      </c>
      <c r="G503" s="33" t="str">
        <f>IFERROR(__xludf.DUMMYFUNCTION("""COMPUTED_VALUE"""),"Pet")</f>
        <v>Pet</v>
      </c>
      <c r="H503" s="33" t="str">
        <f>IFERROR(__xludf.DUMMYFUNCTION("""COMPUTED_VALUE"""),"Transportation")</f>
        <v>Transportation</v>
      </c>
      <c r="I503" s="33"/>
      <c r="J503" s="33"/>
      <c r="K503" s="33"/>
    </row>
    <row r="504">
      <c r="A504" s="33" t="str">
        <f>IFERROR(__xludf.DUMMYFUNCTION("""COMPUTED_VALUE"""),"Debt")</f>
        <v>Debt</v>
      </c>
      <c r="B504" s="33" t="str">
        <f>IFERROR(__xludf.DUMMYFUNCTION("""COMPUTED_VALUE"""),"Groceries")</f>
        <v>Groceries</v>
      </c>
      <c r="C504" s="33" t="str">
        <f>IFERROR(__xludf.DUMMYFUNCTION("""COMPUTED_VALUE"""),"Healthcare")</f>
        <v>Healthcare</v>
      </c>
      <c r="D504" s="33" t="str">
        <f>IFERROR(__xludf.DUMMYFUNCTION("""COMPUTED_VALUE"""),"Household Items")</f>
        <v>Household Items</v>
      </c>
      <c r="E504" s="33" t="str">
        <f>IFERROR(__xludf.DUMMYFUNCTION("""COMPUTED_VALUE"""),"Housing")</f>
        <v>Housing</v>
      </c>
      <c r="F504" s="33" t="str">
        <f>IFERROR(__xludf.DUMMYFUNCTION("""COMPUTED_VALUE"""),"Miscellaneous")</f>
        <v>Miscellaneous</v>
      </c>
      <c r="G504" s="33" t="str">
        <f>IFERROR(__xludf.DUMMYFUNCTION("""COMPUTED_VALUE"""),"Pet")</f>
        <v>Pet</v>
      </c>
      <c r="H504" s="33" t="str">
        <f>IFERROR(__xludf.DUMMYFUNCTION("""COMPUTED_VALUE"""),"Transportation")</f>
        <v>Transportation</v>
      </c>
      <c r="I504" s="33"/>
      <c r="J504" s="33"/>
      <c r="K504" s="33"/>
    </row>
    <row r="505">
      <c r="A505" s="33" t="str">
        <f>IFERROR(__xludf.DUMMYFUNCTION("""COMPUTED_VALUE"""),"Debt")</f>
        <v>Debt</v>
      </c>
      <c r="B505" s="33" t="str">
        <f>IFERROR(__xludf.DUMMYFUNCTION("""COMPUTED_VALUE"""),"Groceries")</f>
        <v>Groceries</v>
      </c>
      <c r="C505" s="33" t="str">
        <f>IFERROR(__xludf.DUMMYFUNCTION("""COMPUTED_VALUE"""),"Healthcare")</f>
        <v>Healthcare</v>
      </c>
      <c r="D505" s="33" t="str">
        <f>IFERROR(__xludf.DUMMYFUNCTION("""COMPUTED_VALUE"""),"Household Items")</f>
        <v>Household Items</v>
      </c>
      <c r="E505" s="33" t="str">
        <f>IFERROR(__xludf.DUMMYFUNCTION("""COMPUTED_VALUE"""),"Housing")</f>
        <v>Housing</v>
      </c>
      <c r="F505" s="33" t="str">
        <f>IFERROR(__xludf.DUMMYFUNCTION("""COMPUTED_VALUE"""),"Miscellaneous")</f>
        <v>Miscellaneous</v>
      </c>
      <c r="G505" s="33" t="str">
        <f>IFERROR(__xludf.DUMMYFUNCTION("""COMPUTED_VALUE"""),"Pet")</f>
        <v>Pet</v>
      </c>
      <c r="H505" s="33" t="str">
        <f>IFERROR(__xludf.DUMMYFUNCTION("""COMPUTED_VALUE"""),"Transportation")</f>
        <v>Transportation</v>
      </c>
      <c r="I505" s="33"/>
      <c r="J505" s="33"/>
      <c r="K505" s="33"/>
    </row>
    <row r="506">
      <c r="A506" s="33" t="str">
        <f>IFERROR(__xludf.DUMMYFUNCTION("""COMPUTED_VALUE"""),"Debt")</f>
        <v>Debt</v>
      </c>
      <c r="B506" s="33" t="str">
        <f>IFERROR(__xludf.DUMMYFUNCTION("""COMPUTED_VALUE"""),"Groceries")</f>
        <v>Groceries</v>
      </c>
      <c r="C506" s="33" t="str">
        <f>IFERROR(__xludf.DUMMYFUNCTION("""COMPUTED_VALUE"""),"Healthcare")</f>
        <v>Healthcare</v>
      </c>
      <c r="D506" s="33" t="str">
        <f>IFERROR(__xludf.DUMMYFUNCTION("""COMPUTED_VALUE"""),"Household Items")</f>
        <v>Household Items</v>
      </c>
      <c r="E506" s="33" t="str">
        <f>IFERROR(__xludf.DUMMYFUNCTION("""COMPUTED_VALUE"""),"Housing")</f>
        <v>Housing</v>
      </c>
      <c r="F506" s="33" t="str">
        <f>IFERROR(__xludf.DUMMYFUNCTION("""COMPUTED_VALUE"""),"Miscellaneous")</f>
        <v>Miscellaneous</v>
      </c>
      <c r="G506" s="33" t="str">
        <f>IFERROR(__xludf.DUMMYFUNCTION("""COMPUTED_VALUE"""),"Pet")</f>
        <v>Pet</v>
      </c>
      <c r="H506" s="33" t="str">
        <f>IFERROR(__xludf.DUMMYFUNCTION("""COMPUTED_VALUE"""),"Transportation")</f>
        <v>Transportation</v>
      </c>
      <c r="I506" s="33"/>
      <c r="J506" s="33"/>
      <c r="K506" s="33"/>
    </row>
    <row r="507">
      <c r="A507" s="33" t="str">
        <f>IFERROR(__xludf.DUMMYFUNCTION("""COMPUTED_VALUE"""),"Debt")</f>
        <v>Debt</v>
      </c>
      <c r="B507" s="33" t="str">
        <f>IFERROR(__xludf.DUMMYFUNCTION("""COMPUTED_VALUE"""),"Groceries")</f>
        <v>Groceries</v>
      </c>
      <c r="C507" s="33" t="str">
        <f>IFERROR(__xludf.DUMMYFUNCTION("""COMPUTED_VALUE"""),"Healthcare")</f>
        <v>Healthcare</v>
      </c>
      <c r="D507" s="33" t="str">
        <f>IFERROR(__xludf.DUMMYFUNCTION("""COMPUTED_VALUE"""),"Household Items")</f>
        <v>Household Items</v>
      </c>
      <c r="E507" s="33" t="str">
        <f>IFERROR(__xludf.DUMMYFUNCTION("""COMPUTED_VALUE"""),"Housing")</f>
        <v>Housing</v>
      </c>
      <c r="F507" s="33" t="str">
        <f>IFERROR(__xludf.DUMMYFUNCTION("""COMPUTED_VALUE"""),"Miscellaneous")</f>
        <v>Miscellaneous</v>
      </c>
      <c r="G507" s="33" t="str">
        <f>IFERROR(__xludf.DUMMYFUNCTION("""COMPUTED_VALUE"""),"Pet")</f>
        <v>Pet</v>
      </c>
      <c r="H507" s="33" t="str">
        <f>IFERROR(__xludf.DUMMYFUNCTION("""COMPUTED_VALUE"""),"Transportation")</f>
        <v>Transportation</v>
      </c>
      <c r="I507" s="33"/>
      <c r="J507" s="33"/>
      <c r="K507" s="33"/>
    </row>
    <row r="508">
      <c r="A508" s="33" t="str">
        <f>IFERROR(__xludf.DUMMYFUNCTION("""COMPUTED_VALUE"""),"Debt")</f>
        <v>Debt</v>
      </c>
      <c r="B508" s="33" t="str">
        <f>IFERROR(__xludf.DUMMYFUNCTION("""COMPUTED_VALUE"""),"Groceries")</f>
        <v>Groceries</v>
      </c>
      <c r="C508" s="33" t="str">
        <f>IFERROR(__xludf.DUMMYFUNCTION("""COMPUTED_VALUE"""),"Healthcare")</f>
        <v>Healthcare</v>
      </c>
      <c r="D508" s="33" t="str">
        <f>IFERROR(__xludf.DUMMYFUNCTION("""COMPUTED_VALUE"""),"Household Items")</f>
        <v>Household Items</v>
      </c>
      <c r="E508" s="33" t="str">
        <f>IFERROR(__xludf.DUMMYFUNCTION("""COMPUTED_VALUE"""),"Housing")</f>
        <v>Housing</v>
      </c>
      <c r="F508" s="33" t="str">
        <f>IFERROR(__xludf.DUMMYFUNCTION("""COMPUTED_VALUE"""),"Miscellaneous")</f>
        <v>Miscellaneous</v>
      </c>
      <c r="G508" s="33" t="str">
        <f>IFERROR(__xludf.DUMMYFUNCTION("""COMPUTED_VALUE"""),"Pet")</f>
        <v>Pet</v>
      </c>
      <c r="H508" s="33" t="str">
        <f>IFERROR(__xludf.DUMMYFUNCTION("""COMPUTED_VALUE"""),"Transportation")</f>
        <v>Transportation</v>
      </c>
      <c r="I508" s="33"/>
      <c r="J508" s="33"/>
      <c r="K508" s="33"/>
    </row>
    <row r="509">
      <c r="A509" s="33" t="str">
        <f>IFERROR(__xludf.DUMMYFUNCTION("""COMPUTED_VALUE"""),"Debt")</f>
        <v>Debt</v>
      </c>
      <c r="B509" s="33" t="str">
        <f>IFERROR(__xludf.DUMMYFUNCTION("""COMPUTED_VALUE"""),"Groceries")</f>
        <v>Groceries</v>
      </c>
      <c r="C509" s="33" t="str">
        <f>IFERROR(__xludf.DUMMYFUNCTION("""COMPUTED_VALUE"""),"Healthcare")</f>
        <v>Healthcare</v>
      </c>
      <c r="D509" s="33" t="str">
        <f>IFERROR(__xludf.DUMMYFUNCTION("""COMPUTED_VALUE"""),"Household Items")</f>
        <v>Household Items</v>
      </c>
      <c r="E509" s="33" t="str">
        <f>IFERROR(__xludf.DUMMYFUNCTION("""COMPUTED_VALUE"""),"Housing")</f>
        <v>Housing</v>
      </c>
      <c r="F509" s="33" t="str">
        <f>IFERROR(__xludf.DUMMYFUNCTION("""COMPUTED_VALUE"""),"Miscellaneous")</f>
        <v>Miscellaneous</v>
      </c>
      <c r="G509" s="33" t="str">
        <f>IFERROR(__xludf.DUMMYFUNCTION("""COMPUTED_VALUE"""),"Pet")</f>
        <v>Pet</v>
      </c>
      <c r="H509" s="33" t="str">
        <f>IFERROR(__xludf.DUMMYFUNCTION("""COMPUTED_VALUE"""),"Transportation")</f>
        <v>Transportation</v>
      </c>
      <c r="I509" s="33"/>
      <c r="J509" s="33"/>
      <c r="K509" s="33"/>
    </row>
    <row r="510">
      <c r="A510" s="33" t="str">
        <f>IFERROR(__xludf.DUMMYFUNCTION("""COMPUTED_VALUE"""),"Clothing")</f>
        <v>Clothing</v>
      </c>
      <c r="B510" s="33" t="str">
        <f>IFERROR(__xludf.DUMMYFUNCTION("""COMPUTED_VALUE"""),"Gaming")</f>
        <v>Gaming</v>
      </c>
      <c r="C510" s="33" t="str">
        <f>IFERROR(__xludf.DUMMYFUNCTION("""COMPUTED_VALUE"""),"Gifts")</f>
        <v>Gifts</v>
      </c>
      <c r="D510" s="33" t="str">
        <f>IFERROR(__xludf.DUMMYFUNCTION("""COMPUTED_VALUE"""),"Healthcare")</f>
        <v>Healthcare</v>
      </c>
      <c r="E510" s="33" t="str">
        <f>IFERROR(__xludf.DUMMYFUNCTION("""COMPUTED_VALUE"""),"Hobbies")</f>
        <v>Hobbies</v>
      </c>
      <c r="F510" s="33" t="str">
        <f>IFERROR(__xludf.DUMMYFUNCTION("""COMPUTED_VALUE"""),"Subscriptions")</f>
        <v>Subscriptions</v>
      </c>
      <c r="G510" s="33"/>
      <c r="H510" s="33"/>
      <c r="I510" s="33"/>
      <c r="J510" s="33"/>
      <c r="K510" s="33"/>
    </row>
    <row r="511">
      <c r="A511" s="33" t="str">
        <f>IFERROR(__xludf.DUMMYFUNCTION("""COMPUTED_VALUE"""),"Cashback")</f>
        <v>Cashback</v>
      </c>
      <c r="B511" s="33" t="str">
        <f>IFERROR(__xludf.DUMMYFUNCTION("""COMPUTED_VALUE"""),"Investment Returns")</f>
        <v>Investment Returns</v>
      </c>
      <c r="C511" s="33" t="str">
        <f>IFERROR(__xludf.DUMMYFUNCTION("""COMPUTED_VALUE"""),"Paycheck")</f>
        <v>Paycheck</v>
      </c>
      <c r="D511" s="33" t="str">
        <f>IFERROR(__xludf.DUMMYFUNCTION("""COMPUTED_VALUE"""),"Reimbursement")</f>
        <v>Reimbursement</v>
      </c>
      <c r="E511" s="33" t="str">
        <f>IFERROR(__xludf.DUMMYFUNCTION("""COMPUTED_VALUE"""),"Rewards")</f>
        <v>Rewards</v>
      </c>
      <c r="F511" s="33"/>
      <c r="G511" s="33"/>
      <c r="H511" s="33"/>
      <c r="I511" s="33"/>
      <c r="J511" s="33"/>
      <c r="K511" s="33"/>
    </row>
    <row r="512">
      <c r="A512" s="33" t="str">
        <f>IFERROR(__xludf.DUMMYFUNCTION("""COMPUTED_VALUE"""),"Dining Out")</f>
        <v>Dining Out</v>
      </c>
      <c r="B512" s="33" t="str">
        <f>IFERROR(__xludf.DUMMYFUNCTION("""COMPUTED_VALUE"""),"Entertainment")</f>
        <v>Entertainment</v>
      </c>
      <c r="C512" s="33" t="str">
        <f>IFERROR(__xludf.DUMMYFUNCTION("""COMPUTED_VALUE"""),"Gaming")</f>
        <v>Gaming</v>
      </c>
      <c r="D512" s="33" t="str">
        <f>IFERROR(__xludf.DUMMYFUNCTION("""COMPUTED_VALUE"""),"Gifts")</f>
        <v>Gifts</v>
      </c>
      <c r="E512" s="33" t="str">
        <f>IFERROR(__xludf.DUMMYFUNCTION("""COMPUTED_VALUE"""),"Groceries")</f>
        <v>Groceries</v>
      </c>
      <c r="F512" s="33" t="str">
        <f>IFERROR(__xludf.DUMMYFUNCTION("""COMPUTED_VALUE"""),"Healthcare")</f>
        <v>Healthcare</v>
      </c>
      <c r="G512" s="33" t="str">
        <f>IFERROR(__xludf.DUMMYFUNCTION("""COMPUTED_VALUE"""),"Hobbies")</f>
        <v>Hobbies</v>
      </c>
      <c r="H512" s="33" t="str">
        <f>IFERROR(__xludf.DUMMYFUNCTION("""COMPUTED_VALUE"""),"Household Items")</f>
        <v>Household Items</v>
      </c>
      <c r="I512" s="33" t="str">
        <f>IFERROR(__xludf.DUMMYFUNCTION("""COMPUTED_VALUE"""),"Subscriptions")</f>
        <v>Subscriptions</v>
      </c>
      <c r="J512" s="33" t="str">
        <f>IFERROR(__xludf.DUMMYFUNCTION("""COMPUTED_VALUE"""),"Transportation")</f>
        <v>Transportation</v>
      </c>
      <c r="K512" s="33" t="str">
        <f>IFERROR(__xludf.DUMMYFUNCTION("""COMPUTED_VALUE"""),"Travel")</f>
        <v>Travel</v>
      </c>
    </row>
    <row r="513">
      <c r="A513" s="33" t="str">
        <f>IFERROR(__xludf.DUMMYFUNCTION("""COMPUTED_VALUE"""),"Deposit")</f>
        <v>Deposit</v>
      </c>
      <c r="B513" s="33" t="str">
        <f>IFERROR(__xludf.DUMMYFUNCTION("""COMPUTED_VALUE"""),"Withdrawal")</f>
        <v>Withdrawal</v>
      </c>
      <c r="C513" s="33"/>
      <c r="D513" s="33"/>
      <c r="E513" s="33"/>
      <c r="F513" s="33"/>
      <c r="G513" s="33"/>
      <c r="H513" s="33"/>
      <c r="I513" s="33"/>
      <c r="J513" s="33"/>
      <c r="K513" s="33"/>
    </row>
    <row r="514">
      <c r="A514" s="33" t="str">
        <f>IFERROR(__xludf.DUMMYFUNCTION("""COMPUTED_VALUE"""),"Deposit")</f>
        <v>Deposit</v>
      </c>
      <c r="B514" s="33" t="str">
        <f>IFERROR(__xludf.DUMMYFUNCTION("""COMPUTED_VALUE"""),"Withdrawal")</f>
        <v>Withdrawal</v>
      </c>
      <c r="C514" s="33"/>
      <c r="D514" s="33"/>
      <c r="E514" s="33"/>
      <c r="F514" s="33"/>
      <c r="G514" s="33"/>
      <c r="H514" s="33"/>
      <c r="I514" s="33"/>
      <c r="J514" s="33"/>
      <c r="K514" s="33"/>
    </row>
    <row r="515">
      <c r="A515" s="33" t="str">
        <f>IFERROR(__xludf.DUMMYFUNCTION("""COMPUTED_VALUE"""),"Clothing")</f>
        <v>Clothing</v>
      </c>
      <c r="B515" s="33" t="str">
        <f>IFERROR(__xludf.DUMMYFUNCTION("""COMPUTED_VALUE"""),"Gifts")</f>
        <v>Gifts</v>
      </c>
      <c r="C515" s="33" t="str">
        <f>IFERROR(__xludf.DUMMYFUNCTION("""COMPUTED_VALUE"""),"Healthcare")</f>
        <v>Healthcare</v>
      </c>
      <c r="D515" s="33" t="str">
        <f>IFERROR(__xludf.DUMMYFUNCTION("""COMPUTED_VALUE"""),"Hobbies")</f>
        <v>Hobbies</v>
      </c>
      <c r="E515" s="33" t="str">
        <f>IFERROR(__xludf.DUMMYFUNCTION("""COMPUTED_VALUE"""),"Organization")</f>
        <v>Organization</v>
      </c>
      <c r="F515" s="33"/>
      <c r="G515" s="33"/>
      <c r="H515" s="33"/>
      <c r="I515" s="33"/>
      <c r="J515" s="33"/>
      <c r="K515" s="33"/>
    </row>
    <row r="516">
      <c r="A516" s="33" t="str">
        <f>IFERROR(__xludf.DUMMYFUNCTION("""COMPUTED_VALUE"""),"Dining Out")</f>
        <v>Dining Out</v>
      </c>
      <c r="B516" s="33" t="str">
        <f>IFERROR(__xludf.DUMMYFUNCTION("""COMPUTED_VALUE"""),"Entertainment")</f>
        <v>Entertainment</v>
      </c>
      <c r="C516" s="33" t="str">
        <f>IFERROR(__xludf.DUMMYFUNCTION("""COMPUTED_VALUE"""),"Gaming")</f>
        <v>Gaming</v>
      </c>
      <c r="D516" s="33" t="str">
        <f>IFERROR(__xludf.DUMMYFUNCTION("""COMPUTED_VALUE"""),"Gifts")</f>
        <v>Gifts</v>
      </c>
      <c r="E516" s="33" t="str">
        <f>IFERROR(__xludf.DUMMYFUNCTION("""COMPUTED_VALUE"""),"Groceries")</f>
        <v>Groceries</v>
      </c>
      <c r="F516" s="33" t="str">
        <f>IFERROR(__xludf.DUMMYFUNCTION("""COMPUTED_VALUE"""),"Healthcare")</f>
        <v>Healthcare</v>
      </c>
      <c r="G516" s="33" t="str">
        <f>IFERROR(__xludf.DUMMYFUNCTION("""COMPUTED_VALUE"""),"Hobbies")</f>
        <v>Hobbies</v>
      </c>
      <c r="H516" s="33" t="str">
        <f>IFERROR(__xludf.DUMMYFUNCTION("""COMPUTED_VALUE"""),"Household Items")</f>
        <v>Household Items</v>
      </c>
      <c r="I516" s="33" t="str">
        <f>IFERROR(__xludf.DUMMYFUNCTION("""COMPUTED_VALUE"""),"Subscriptions")</f>
        <v>Subscriptions</v>
      </c>
      <c r="J516" s="33" t="str">
        <f>IFERROR(__xludf.DUMMYFUNCTION("""COMPUTED_VALUE"""),"Transportation")</f>
        <v>Transportation</v>
      </c>
      <c r="K516" s="33" t="str">
        <f>IFERROR(__xludf.DUMMYFUNCTION("""COMPUTED_VALUE"""),"Travel")</f>
        <v>Travel</v>
      </c>
    </row>
    <row r="517">
      <c r="A517" s="33" t="str">
        <f>IFERROR(__xludf.DUMMYFUNCTION("""COMPUTED_VALUE"""),"Debt")</f>
        <v>Debt</v>
      </c>
      <c r="B517" s="33" t="str">
        <f>IFERROR(__xludf.DUMMYFUNCTION("""COMPUTED_VALUE"""),"Groceries")</f>
        <v>Groceries</v>
      </c>
      <c r="C517" s="33" t="str">
        <f>IFERROR(__xludf.DUMMYFUNCTION("""COMPUTED_VALUE"""),"Healthcare")</f>
        <v>Healthcare</v>
      </c>
      <c r="D517" s="33" t="str">
        <f>IFERROR(__xludf.DUMMYFUNCTION("""COMPUTED_VALUE"""),"Household Items")</f>
        <v>Household Items</v>
      </c>
      <c r="E517" s="33" t="str">
        <f>IFERROR(__xludf.DUMMYFUNCTION("""COMPUTED_VALUE"""),"Housing")</f>
        <v>Housing</v>
      </c>
      <c r="F517" s="33" t="str">
        <f>IFERROR(__xludf.DUMMYFUNCTION("""COMPUTED_VALUE"""),"Miscellaneous")</f>
        <v>Miscellaneous</v>
      </c>
      <c r="G517" s="33" t="str">
        <f>IFERROR(__xludf.DUMMYFUNCTION("""COMPUTED_VALUE"""),"Pet")</f>
        <v>Pet</v>
      </c>
      <c r="H517" s="33" t="str">
        <f>IFERROR(__xludf.DUMMYFUNCTION("""COMPUTED_VALUE"""),"Transportation")</f>
        <v>Transportation</v>
      </c>
      <c r="I517" s="33"/>
      <c r="J517" s="33"/>
      <c r="K517" s="33"/>
    </row>
    <row r="518">
      <c r="A518" s="33" t="str">
        <f>IFERROR(__xludf.DUMMYFUNCTION("""COMPUTED_VALUE"""),"Debt")</f>
        <v>Debt</v>
      </c>
      <c r="B518" s="33" t="str">
        <f>IFERROR(__xludf.DUMMYFUNCTION("""COMPUTED_VALUE"""),"Groceries")</f>
        <v>Groceries</v>
      </c>
      <c r="C518" s="33" t="str">
        <f>IFERROR(__xludf.DUMMYFUNCTION("""COMPUTED_VALUE"""),"Healthcare")</f>
        <v>Healthcare</v>
      </c>
      <c r="D518" s="33" t="str">
        <f>IFERROR(__xludf.DUMMYFUNCTION("""COMPUTED_VALUE"""),"Household Items")</f>
        <v>Household Items</v>
      </c>
      <c r="E518" s="33" t="str">
        <f>IFERROR(__xludf.DUMMYFUNCTION("""COMPUTED_VALUE"""),"Housing")</f>
        <v>Housing</v>
      </c>
      <c r="F518" s="33" t="str">
        <f>IFERROR(__xludf.DUMMYFUNCTION("""COMPUTED_VALUE"""),"Miscellaneous")</f>
        <v>Miscellaneous</v>
      </c>
      <c r="G518" s="33" t="str">
        <f>IFERROR(__xludf.DUMMYFUNCTION("""COMPUTED_VALUE"""),"Pet")</f>
        <v>Pet</v>
      </c>
      <c r="H518" s="33" t="str">
        <f>IFERROR(__xludf.DUMMYFUNCTION("""COMPUTED_VALUE"""),"Transportation")</f>
        <v>Transportation</v>
      </c>
      <c r="I518" s="33"/>
      <c r="J518" s="33"/>
      <c r="K518" s="33"/>
    </row>
    <row r="519">
      <c r="A519" s="33" t="str">
        <f>IFERROR(__xludf.DUMMYFUNCTION("""COMPUTED_VALUE"""),"Debt")</f>
        <v>Debt</v>
      </c>
      <c r="B519" s="33" t="str">
        <f>IFERROR(__xludf.DUMMYFUNCTION("""COMPUTED_VALUE"""),"Groceries")</f>
        <v>Groceries</v>
      </c>
      <c r="C519" s="33" t="str">
        <f>IFERROR(__xludf.DUMMYFUNCTION("""COMPUTED_VALUE"""),"Healthcare")</f>
        <v>Healthcare</v>
      </c>
      <c r="D519" s="33" t="str">
        <f>IFERROR(__xludf.DUMMYFUNCTION("""COMPUTED_VALUE"""),"Household Items")</f>
        <v>Household Items</v>
      </c>
      <c r="E519" s="33" t="str">
        <f>IFERROR(__xludf.DUMMYFUNCTION("""COMPUTED_VALUE"""),"Housing")</f>
        <v>Housing</v>
      </c>
      <c r="F519" s="33" t="str">
        <f>IFERROR(__xludf.DUMMYFUNCTION("""COMPUTED_VALUE"""),"Miscellaneous")</f>
        <v>Miscellaneous</v>
      </c>
      <c r="G519" s="33" t="str">
        <f>IFERROR(__xludf.DUMMYFUNCTION("""COMPUTED_VALUE"""),"Pet")</f>
        <v>Pet</v>
      </c>
      <c r="H519" s="33" t="str">
        <f>IFERROR(__xludf.DUMMYFUNCTION("""COMPUTED_VALUE"""),"Transportation")</f>
        <v>Transportation</v>
      </c>
      <c r="I519" s="33"/>
      <c r="J519" s="33"/>
      <c r="K519" s="33"/>
    </row>
    <row r="520">
      <c r="A520" s="33" t="str">
        <f>IFERROR(__xludf.DUMMYFUNCTION("""COMPUTED_VALUE"""),"Debt")</f>
        <v>Debt</v>
      </c>
      <c r="B520" s="33" t="str">
        <f>IFERROR(__xludf.DUMMYFUNCTION("""COMPUTED_VALUE"""),"Groceries")</f>
        <v>Groceries</v>
      </c>
      <c r="C520" s="33" t="str">
        <f>IFERROR(__xludf.DUMMYFUNCTION("""COMPUTED_VALUE"""),"Healthcare")</f>
        <v>Healthcare</v>
      </c>
      <c r="D520" s="33" t="str">
        <f>IFERROR(__xludf.DUMMYFUNCTION("""COMPUTED_VALUE"""),"Household Items")</f>
        <v>Household Items</v>
      </c>
      <c r="E520" s="33" t="str">
        <f>IFERROR(__xludf.DUMMYFUNCTION("""COMPUTED_VALUE"""),"Housing")</f>
        <v>Housing</v>
      </c>
      <c r="F520" s="33" t="str">
        <f>IFERROR(__xludf.DUMMYFUNCTION("""COMPUTED_VALUE"""),"Miscellaneous")</f>
        <v>Miscellaneous</v>
      </c>
      <c r="G520" s="33" t="str">
        <f>IFERROR(__xludf.DUMMYFUNCTION("""COMPUTED_VALUE"""),"Pet")</f>
        <v>Pet</v>
      </c>
      <c r="H520" s="33" t="str">
        <f>IFERROR(__xludf.DUMMYFUNCTION("""COMPUTED_VALUE"""),"Transportation")</f>
        <v>Transportation</v>
      </c>
      <c r="I520" s="33"/>
      <c r="J520" s="33"/>
      <c r="K520" s="33"/>
    </row>
    <row r="521">
      <c r="A521" s="33" t="str">
        <f>IFERROR(__xludf.DUMMYFUNCTION("""COMPUTED_VALUE"""),"Debt")</f>
        <v>Debt</v>
      </c>
      <c r="B521" s="33" t="str">
        <f>IFERROR(__xludf.DUMMYFUNCTION("""COMPUTED_VALUE"""),"Groceries")</f>
        <v>Groceries</v>
      </c>
      <c r="C521" s="33" t="str">
        <f>IFERROR(__xludf.DUMMYFUNCTION("""COMPUTED_VALUE"""),"Healthcare")</f>
        <v>Healthcare</v>
      </c>
      <c r="D521" s="33" t="str">
        <f>IFERROR(__xludf.DUMMYFUNCTION("""COMPUTED_VALUE"""),"Household Items")</f>
        <v>Household Items</v>
      </c>
      <c r="E521" s="33" t="str">
        <f>IFERROR(__xludf.DUMMYFUNCTION("""COMPUTED_VALUE"""),"Housing")</f>
        <v>Housing</v>
      </c>
      <c r="F521" s="33" t="str">
        <f>IFERROR(__xludf.DUMMYFUNCTION("""COMPUTED_VALUE"""),"Miscellaneous")</f>
        <v>Miscellaneous</v>
      </c>
      <c r="G521" s="33" t="str">
        <f>IFERROR(__xludf.DUMMYFUNCTION("""COMPUTED_VALUE"""),"Pet")</f>
        <v>Pet</v>
      </c>
      <c r="H521" s="33" t="str">
        <f>IFERROR(__xludf.DUMMYFUNCTION("""COMPUTED_VALUE"""),"Transportation")</f>
        <v>Transportation</v>
      </c>
      <c r="I521" s="33"/>
      <c r="J521" s="33"/>
      <c r="K521" s="33"/>
    </row>
    <row r="522">
      <c r="A522" s="33" t="str">
        <f>IFERROR(__xludf.DUMMYFUNCTION("""COMPUTED_VALUE"""),"Debt")</f>
        <v>Debt</v>
      </c>
      <c r="B522" s="33" t="str">
        <f>IFERROR(__xludf.DUMMYFUNCTION("""COMPUTED_VALUE"""),"Groceries")</f>
        <v>Groceries</v>
      </c>
      <c r="C522" s="33" t="str">
        <f>IFERROR(__xludf.DUMMYFUNCTION("""COMPUTED_VALUE"""),"Healthcare")</f>
        <v>Healthcare</v>
      </c>
      <c r="D522" s="33" t="str">
        <f>IFERROR(__xludf.DUMMYFUNCTION("""COMPUTED_VALUE"""),"Household Items")</f>
        <v>Household Items</v>
      </c>
      <c r="E522" s="33" t="str">
        <f>IFERROR(__xludf.DUMMYFUNCTION("""COMPUTED_VALUE"""),"Housing")</f>
        <v>Housing</v>
      </c>
      <c r="F522" s="33" t="str">
        <f>IFERROR(__xludf.DUMMYFUNCTION("""COMPUTED_VALUE"""),"Miscellaneous")</f>
        <v>Miscellaneous</v>
      </c>
      <c r="G522" s="33" t="str">
        <f>IFERROR(__xludf.DUMMYFUNCTION("""COMPUTED_VALUE"""),"Pet")</f>
        <v>Pet</v>
      </c>
      <c r="H522" s="33" t="str">
        <f>IFERROR(__xludf.DUMMYFUNCTION("""COMPUTED_VALUE"""),"Transportation")</f>
        <v>Transportation</v>
      </c>
      <c r="I522" s="33"/>
      <c r="J522" s="33"/>
      <c r="K522" s="33"/>
    </row>
    <row r="523">
      <c r="A523" s="33" t="str">
        <f>IFERROR(__xludf.DUMMYFUNCTION("""COMPUTED_VALUE"""),"Debt")</f>
        <v>Debt</v>
      </c>
      <c r="B523" s="33" t="str">
        <f>IFERROR(__xludf.DUMMYFUNCTION("""COMPUTED_VALUE"""),"Groceries")</f>
        <v>Groceries</v>
      </c>
      <c r="C523" s="33" t="str">
        <f>IFERROR(__xludf.DUMMYFUNCTION("""COMPUTED_VALUE"""),"Healthcare")</f>
        <v>Healthcare</v>
      </c>
      <c r="D523" s="33" t="str">
        <f>IFERROR(__xludf.DUMMYFUNCTION("""COMPUTED_VALUE"""),"Household Items")</f>
        <v>Household Items</v>
      </c>
      <c r="E523" s="33" t="str">
        <f>IFERROR(__xludf.DUMMYFUNCTION("""COMPUTED_VALUE"""),"Housing")</f>
        <v>Housing</v>
      </c>
      <c r="F523" s="33" t="str">
        <f>IFERROR(__xludf.DUMMYFUNCTION("""COMPUTED_VALUE"""),"Miscellaneous")</f>
        <v>Miscellaneous</v>
      </c>
      <c r="G523" s="33" t="str">
        <f>IFERROR(__xludf.DUMMYFUNCTION("""COMPUTED_VALUE"""),"Pet")</f>
        <v>Pet</v>
      </c>
      <c r="H523" s="33" t="str">
        <f>IFERROR(__xludf.DUMMYFUNCTION("""COMPUTED_VALUE"""),"Transportation")</f>
        <v>Transportation</v>
      </c>
      <c r="I523" s="33"/>
      <c r="J523" s="33"/>
      <c r="K523" s="33"/>
    </row>
    <row r="524">
      <c r="A524" s="33" t="str">
        <f>IFERROR(__xludf.DUMMYFUNCTION("""COMPUTED_VALUE"""),"Debt")</f>
        <v>Debt</v>
      </c>
      <c r="B524" s="33" t="str">
        <f>IFERROR(__xludf.DUMMYFUNCTION("""COMPUTED_VALUE"""),"Groceries")</f>
        <v>Groceries</v>
      </c>
      <c r="C524" s="33" t="str">
        <f>IFERROR(__xludf.DUMMYFUNCTION("""COMPUTED_VALUE"""),"Healthcare")</f>
        <v>Healthcare</v>
      </c>
      <c r="D524" s="33" t="str">
        <f>IFERROR(__xludf.DUMMYFUNCTION("""COMPUTED_VALUE"""),"Household Items")</f>
        <v>Household Items</v>
      </c>
      <c r="E524" s="33" t="str">
        <f>IFERROR(__xludf.DUMMYFUNCTION("""COMPUTED_VALUE"""),"Housing")</f>
        <v>Housing</v>
      </c>
      <c r="F524" s="33" t="str">
        <f>IFERROR(__xludf.DUMMYFUNCTION("""COMPUTED_VALUE"""),"Miscellaneous")</f>
        <v>Miscellaneous</v>
      </c>
      <c r="G524" s="33" t="str">
        <f>IFERROR(__xludf.DUMMYFUNCTION("""COMPUTED_VALUE"""),"Pet")</f>
        <v>Pet</v>
      </c>
      <c r="H524" s="33" t="str">
        <f>IFERROR(__xludf.DUMMYFUNCTION("""COMPUTED_VALUE"""),"Transportation")</f>
        <v>Transportation</v>
      </c>
      <c r="I524" s="33"/>
      <c r="J524" s="33"/>
      <c r="K524" s="33"/>
    </row>
    <row r="525">
      <c r="A525" s="33" t="str">
        <f>IFERROR(__xludf.DUMMYFUNCTION("""COMPUTED_VALUE"""),"Boarding")</f>
        <v>Boarding</v>
      </c>
      <c r="B525" s="33" t="str">
        <f>IFERROR(__xludf.DUMMYFUNCTION("""COMPUTED_VALUE"""),"Clothing")</f>
        <v>Clothing</v>
      </c>
      <c r="C525" s="33" t="str">
        <f>IFERROR(__xludf.DUMMYFUNCTION("""COMPUTED_VALUE"""),"Daycare")</f>
        <v>Daycare</v>
      </c>
      <c r="D525" s="33" t="str">
        <f>IFERROR(__xludf.DUMMYFUNCTION("""COMPUTED_VALUE"""),"Grooming")</f>
        <v>Grooming</v>
      </c>
      <c r="E525" s="33" t="str">
        <f>IFERROR(__xludf.DUMMYFUNCTION("""COMPUTED_VALUE"""),"Toys")</f>
        <v>Toys</v>
      </c>
      <c r="F525" s="33" t="str">
        <f>IFERROR(__xludf.DUMMYFUNCTION("""COMPUTED_VALUE"""),"Treats")</f>
        <v>Treats</v>
      </c>
      <c r="G525" s="33"/>
      <c r="H525" s="33"/>
      <c r="I525" s="33"/>
      <c r="J525" s="33"/>
      <c r="K525" s="33"/>
    </row>
    <row r="526">
      <c r="A526" s="33" t="str">
        <f>IFERROR(__xludf.DUMMYFUNCTION("""COMPUTED_VALUE"""),"Deposit")</f>
        <v>Deposit</v>
      </c>
      <c r="B526" s="33" t="str">
        <f>IFERROR(__xludf.DUMMYFUNCTION("""COMPUTED_VALUE"""),"Withdrawal")</f>
        <v>Withdrawal</v>
      </c>
      <c r="C526" s="33"/>
      <c r="D526" s="33"/>
      <c r="E526" s="33"/>
      <c r="F526" s="33"/>
      <c r="G526" s="33"/>
      <c r="H526" s="33"/>
      <c r="I526" s="33"/>
      <c r="J526" s="33"/>
      <c r="K526" s="33"/>
    </row>
    <row r="527">
      <c r="A527" s="33" t="str">
        <f>IFERROR(__xludf.DUMMYFUNCTION("""COMPUTED_VALUE"""),"Deposit")</f>
        <v>Deposit</v>
      </c>
      <c r="B527" s="33" t="str">
        <f>IFERROR(__xludf.DUMMYFUNCTION("""COMPUTED_VALUE"""),"Withdrawal")</f>
        <v>Withdrawal</v>
      </c>
      <c r="C527" s="33"/>
      <c r="D527" s="33"/>
      <c r="E527" s="33"/>
      <c r="F527" s="33"/>
      <c r="G527" s="33"/>
      <c r="H527" s="33"/>
      <c r="I527" s="33"/>
      <c r="J527" s="33"/>
      <c r="K527" s="33"/>
    </row>
    <row r="528">
      <c r="A528" s="33" t="str">
        <f>IFERROR(__xludf.DUMMYFUNCTION("""COMPUTED_VALUE"""),"Cashback")</f>
        <v>Cashback</v>
      </c>
      <c r="B528" s="33" t="str">
        <f>IFERROR(__xludf.DUMMYFUNCTION("""COMPUTED_VALUE"""),"Investment Returns")</f>
        <v>Investment Returns</v>
      </c>
      <c r="C528" s="33" t="str">
        <f>IFERROR(__xludf.DUMMYFUNCTION("""COMPUTED_VALUE"""),"Paycheck")</f>
        <v>Paycheck</v>
      </c>
      <c r="D528" s="33" t="str">
        <f>IFERROR(__xludf.DUMMYFUNCTION("""COMPUTED_VALUE"""),"Reimbursement")</f>
        <v>Reimbursement</v>
      </c>
      <c r="E528" s="33" t="str">
        <f>IFERROR(__xludf.DUMMYFUNCTION("""COMPUTED_VALUE"""),"Rewards")</f>
        <v>Rewards</v>
      </c>
      <c r="F528" s="33"/>
      <c r="G528" s="33"/>
      <c r="H528" s="33"/>
      <c r="I528" s="33"/>
      <c r="J528" s="33"/>
      <c r="K528" s="33"/>
    </row>
    <row r="529">
      <c r="A529" s="33" t="str">
        <f>IFERROR(__xludf.DUMMYFUNCTION("""COMPUTED_VALUE"""),"Cashback")</f>
        <v>Cashback</v>
      </c>
      <c r="B529" s="33" t="str">
        <f>IFERROR(__xludf.DUMMYFUNCTION("""COMPUTED_VALUE"""),"Investment Returns")</f>
        <v>Investment Returns</v>
      </c>
      <c r="C529" s="33" t="str">
        <f>IFERROR(__xludf.DUMMYFUNCTION("""COMPUTED_VALUE"""),"Paycheck")</f>
        <v>Paycheck</v>
      </c>
      <c r="D529" s="33" t="str">
        <f>IFERROR(__xludf.DUMMYFUNCTION("""COMPUTED_VALUE"""),"Reimbursement")</f>
        <v>Reimbursement</v>
      </c>
      <c r="E529" s="33" t="str">
        <f>IFERROR(__xludf.DUMMYFUNCTION("""COMPUTED_VALUE"""),"Rewards")</f>
        <v>Rewards</v>
      </c>
      <c r="F529" s="33"/>
      <c r="G529" s="33"/>
      <c r="H529" s="33"/>
      <c r="I529" s="33"/>
      <c r="J529" s="33"/>
      <c r="K529" s="33"/>
    </row>
    <row r="530">
      <c r="A530" s="33" t="str">
        <f>IFERROR(__xludf.DUMMYFUNCTION("""COMPUTED_VALUE"""),"Debt")</f>
        <v>Debt</v>
      </c>
      <c r="B530" s="33" t="str">
        <f>IFERROR(__xludf.DUMMYFUNCTION("""COMPUTED_VALUE"""),"Groceries")</f>
        <v>Groceries</v>
      </c>
      <c r="C530" s="33" t="str">
        <f>IFERROR(__xludf.DUMMYFUNCTION("""COMPUTED_VALUE"""),"Healthcare")</f>
        <v>Healthcare</v>
      </c>
      <c r="D530" s="33" t="str">
        <f>IFERROR(__xludf.DUMMYFUNCTION("""COMPUTED_VALUE"""),"Household Items")</f>
        <v>Household Items</v>
      </c>
      <c r="E530" s="33" t="str">
        <f>IFERROR(__xludf.DUMMYFUNCTION("""COMPUTED_VALUE"""),"Housing")</f>
        <v>Housing</v>
      </c>
      <c r="F530" s="33" t="str">
        <f>IFERROR(__xludf.DUMMYFUNCTION("""COMPUTED_VALUE"""),"Miscellaneous")</f>
        <v>Miscellaneous</v>
      </c>
      <c r="G530" s="33" t="str">
        <f>IFERROR(__xludf.DUMMYFUNCTION("""COMPUTED_VALUE"""),"Pet")</f>
        <v>Pet</v>
      </c>
      <c r="H530" s="33" t="str">
        <f>IFERROR(__xludf.DUMMYFUNCTION("""COMPUTED_VALUE"""),"Transportation")</f>
        <v>Transportation</v>
      </c>
      <c r="I530" s="33"/>
      <c r="J530" s="33"/>
      <c r="K530" s="33"/>
    </row>
    <row r="531">
      <c r="A531" s="33" t="str">
        <f>IFERROR(__xludf.DUMMYFUNCTION("""COMPUTED_VALUE"""),"Dining Out")</f>
        <v>Dining Out</v>
      </c>
      <c r="B531" s="33" t="str">
        <f>IFERROR(__xludf.DUMMYFUNCTION("""COMPUTED_VALUE"""),"Entertainment")</f>
        <v>Entertainment</v>
      </c>
      <c r="C531" s="33" t="str">
        <f>IFERROR(__xludf.DUMMYFUNCTION("""COMPUTED_VALUE"""),"Gaming")</f>
        <v>Gaming</v>
      </c>
      <c r="D531" s="33" t="str">
        <f>IFERROR(__xludf.DUMMYFUNCTION("""COMPUTED_VALUE"""),"Gifts")</f>
        <v>Gifts</v>
      </c>
      <c r="E531" s="33" t="str">
        <f>IFERROR(__xludf.DUMMYFUNCTION("""COMPUTED_VALUE"""),"Groceries")</f>
        <v>Groceries</v>
      </c>
      <c r="F531" s="33" t="str">
        <f>IFERROR(__xludf.DUMMYFUNCTION("""COMPUTED_VALUE"""),"Healthcare")</f>
        <v>Healthcare</v>
      </c>
      <c r="G531" s="33" t="str">
        <f>IFERROR(__xludf.DUMMYFUNCTION("""COMPUTED_VALUE"""),"Hobbies")</f>
        <v>Hobbies</v>
      </c>
      <c r="H531" s="33" t="str">
        <f>IFERROR(__xludf.DUMMYFUNCTION("""COMPUTED_VALUE"""),"Household Items")</f>
        <v>Household Items</v>
      </c>
      <c r="I531" s="33" t="str">
        <f>IFERROR(__xludf.DUMMYFUNCTION("""COMPUTED_VALUE"""),"Subscriptions")</f>
        <v>Subscriptions</v>
      </c>
      <c r="J531" s="33" t="str">
        <f>IFERROR(__xludf.DUMMYFUNCTION("""COMPUTED_VALUE"""),"Transportation")</f>
        <v>Transportation</v>
      </c>
      <c r="K531" s="33" t="str">
        <f>IFERROR(__xludf.DUMMYFUNCTION("""COMPUTED_VALUE"""),"Travel")</f>
        <v>Travel</v>
      </c>
    </row>
    <row r="532">
      <c r="A532" s="33" t="str">
        <f>IFERROR(__xludf.DUMMYFUNCTION("""COMPUTED_VALUE"""),"Dining Out")</f>
        <v>Dining Out</v>
      </c>
      <c r="B532" s="33" t="str">
        <f>IFERROR(__xludf.DUMMYFUNCTION("""COMPUTED_VALUE"""),"Entertainment")</f>
        <v>Entertainment</v>
      </c>
      <c r="C532" s="33" t="str">
        <f>IFERROR(__xludf.DUMMYFUNCTION("""COMPUTED_VALUE"""),"Gaming")</f>
        <v>Gaming</v>
      </c>
      <c r="D532" s="33" t="str">
        <f>IFERROR(__xludf.DUMMYFUNCTION("""COMPUTED_VALUE"""),"Gifts")</f>
        <v>Gifts</v>
      </c>
      <c r="E532" s="33" t="str">
        <f>IFERROR(__xludf.DUMMYFUNCTION("""COMPUTED_VALUE"""),"Groceries")</f>
        <v>Groceries</v>
      </c>
      <c r="F532" s="33" t="str">
        <f>IFERROR(__xludf.DUMMYFUNCTION("""COMPUTED_VALUE"""),"Healthcare")</f>
        <v>Healthcare</v>
      </c>
      <c r="G532" s="33" t="str">
        <f>IFERROR(__xludf.DUMMYFUNCTION("""COMPUTED_VALUE"""),"Hobbies")</f>
        <v>Hobbies</v>
      </c>
      <c r="H532" s="33" t="str">
        <f>IFERROR(__xludf.DUMMYFUNCTION("""COMPUTED_VALUE"""),"Household Items")</f>
        <v>Household Items</v>
      </c>
      <c r="I532" s="33" t="str">
        <f>IFERROR(__xludf.DUMMYFUNCTION("""COMPUTED_VALUE"""),"Subscriptions")</f>
        <v>Subscriptions</v>
      </c>
      <c r="J532" s="33" t="str">
        <f>IFERROR(__xludf.DUMMYFUNCTION("""COMPUTED_VALUE"""),"Transportation")</f>
        <v>Transportation</v>
      </c>
      <c r="K532" s="33" t="str">
        <f>IFERROR(__xludf.DUMMYFUNCTION("""COMPUTED_VALUE"""),"Travel")</f>
        <v>Travel</v>
      </c>
    </row>
    <row r="533">
      <c r="A533" s="33" t="str">
        <f>IFERROR(__xludf.DUMMYFUNCTION("""COMPUTED_VALUE"""),"Debt")</f>
        <v>Debt</v>
      </c>
      <c r="B533" s="33" t="str">
        <f>IFERROR(__xludf.DUMMYFUNCTION("""COMPUTED_VALUE"""),"Groceries")</f>
        <v>Groceries</v>
      </c>
      <c r="C533" s="33" t="str">
        <f>IFERROR(__xludf.DUMMYFUNCTION("""COMPUTED_VALUE"""),"Healthcare")</f>
        <v>Healthcare</v>
      </c>
      <c r="D533" s="33" t="str">
        <f>IFERROR(__xludf.DUMMYFUNCTION("""COMPUTED_VALUE"""),"Household Items")</f>
        <v>Household Items</v>
      </c>
      <c r="E533" s="33" t="str">
        <f>IFERROR(__xludf.DUMMYFUNCTION("""COMPUTED_VALUE"""),"Housing")</f>
        <v>Housing</v>
      </c>
      <c r="F533" s="33" t="str">
        <f>IFERROR(__xludf.DUMMYFUNCTION("""COMPUTED_VALUE"""),"Miscellaneous")</f>
        <v>Miscellaneous</v>
      </c>
      <c r="G533" s="33" t="str">
        <f>IFERROR(__xludf.DUMMYFUNCTION("""COMPUTED_VALUE"""),"Pet")</f>
        <v>Pet</v>
      </c>
      <c r="H533" s="33" t="str">
        <f>IFERROR(__xludf.DUMMYFUNCTION("""COMPUTED_VALUE"""),"Transportation")</f>
        <v>Transportation</v>
      </c>
      <c r="I533" s="33"/>
      <c r="J533" s="33"/>
      <c r="K533" s="33"/>
    </row>
    <row r="534">
      <c r="A534" s="33" t="str">
        <f>IFERROR(__xludf.DUMMYFUNCTION("""COMPUTED_VALUE"""),"Debt")</f>
        <v>Debt</v>
      </c>
      <c r="B534" s="33" t="str">
        <f>IFERROR(__xludf.DUMMYFUNCTION("""COMPUTED_VALUE"""),"Groceries")</f>
        <v>Groceries</v>
      </c>
      <c r="C534" s="33" t="str">
        <f>IFERROR(__xludf.DUMMYFUNCTION("""COMPUTED_VALUE"""),"Healthcare")</f>
        <v>Healthcare</v>
      </c>
      <c r="D534" s="33" t="str">
        <f>IFERROR(__xludf.DUMMYFUNCTION("""COMPUTED_VALUE"""),"Household Items")</f>
        <v>Household Items</v>
      </c>
      <c r="E534" s="33" t="str">
        <f>IFERROR(__xludf.DUMMYFUNCTION("""COMPUTED_VALUE"""),"Housing")</f>
        <v>Housing</v>
      </c>
      <c r="F534" s="33" t="str">
        <f>IFERROR(__xludf.DUMMYFUNCTION("""COMPUTED_VALUE"""),"Miscellaneous")</f>
        <v>Miscellaneous</v>
      </c>
      <c r="G534" s="33" t="str">
        <f>IFERROR(__xludf.DUMMYFUNCTION("""COMPUTED_VALUE"""),"Pet")</f>
        <v>Pet</v>
      </c>
      <c r="H534" s="33" t="str">
        <f>IFERROR(__xludf.DUMMYFUNCTION("""COMPUTED_VALUE"""),"Transportation")</f>
        <v>Transportation</v>
      </c>
      <c r="I534" s="33"/>
      <c r="J534" s="33"/>
      <c r="K534" s="33"/>
    </row>
    <row r="535">
      <c r="A535" s="33" t="str">
        <f>IFERROR(__xludf.DUMMYFUNCTION("""COMPUTED_VALUE"""),"Debt")</f>
        <v>Debt</v>
      </c>
      <c r="B535" s="33" t="str">
        <f>IFERROR(__xludf.DUMMYFUNCTION("""COMPUTED_VALUE"""),"Groceries")</f>
        <v>Groceries</v>
      </c>
      <c r="C535" s="33" t="str">
        <f>IFERROR(__xludf.DUMMYFUNCTION("""COMPUTED_VALUE"""),"Healthcare")</f>
        <v>Healthcare</v>
      </c>
      <c r="D535" s="33" t="str">
        <f>IFERROR(__xludf.DUMMYFUNCTION("""COMPUTED_VALUE"""),"Household Items")</f>
        <v>Household Items</v>
      </c>
      <c r="E535" s="33" t="str">
        <f>IFERROR(__xludf.DUMMYFUNCTION("""COMPUTED_VALUE"""),"Housing")</f>
        <v>Housing</v>
      </c>
      <c r="F535" s="33" t="str">
        <f>IFERROR(__xludf.DUMMYFUNCTION("""COMPUTED_VALUE"""),"Miscellaneous")</f>
        <v>Miscellaneous</v>
      </c>
      <c r="G535" s="33" t="str">
        <f>IFERROR(__xludf.DUMMYFUNCTION("""COMPUTED_VALUE"""),"Pet")</f>
        <v>Pet</v>
      </c>
      <c r="H535" s="33" t="str">
        <f>IFERROR(__xludf.DUMMYFUNCTION("""COMPUTED_VALUE"""),"Transportation")</f>
        <v>Transportation</v>
      </c>
      <c r="I535" s="33"/>
      <c r="J535" s="33"/>
      <c r="K535" s="33"/>
    </row>
    <row r="536">
      <c r="A536" s="33" t="str">
        <f>IFERROR(__xludf.DUMMYFUNCTION("""COMPUTED_VALUE"""),"Debt")</f>
        <v>Debt</v>
      </c>
      <c r="B536" s="33" t="str">
        <f>IFERROR(__xludf.DUMMYFUNCTION("""COMPUTED_VALUE"""),"Groceries")</f>
        <v>Groceries</v>
      </c>
      <c r="C536" s="33" t="str">
        <f>IFERROR(__xludf.DUMMYFUNCTION("""COMPUTED_VALUE"""),"Healthcare")</f>
        <v>Healthcare</v>
      </c>
      <c r="D536" s="33" t="str">
        <f>IFERROR(__xludf.DUMMYFUNCTION("""COMPUTED_VALUE"""),"Household Items")</f>
        <v>Household Items</v>
      </c>
      <c r="E536" s="33" t="str">
        <f>IFERROR(__xludf.DUMMYFUNCTION("""COMPUTED_VALUE"""),"Housing")</f>
        <v>Housing</v>
      </c>
      <c r="F536" s="33" t="str">
        <f>IFERROR(__xludf.DUMMYFUNCTION("""COMPUTED_VALUE"""),"Miscellaneous")</f>
        <v>Miscellaneous</v>
      </c>
      <c r="G536" s="33" t="str">
        <f>IFERROR(__xludf.DUMMYFUNCTION("""COMPUTED_VALUE"""),"Pet")</f>
        <v>Pet</v>
      </c>
      <c r="H536" s="33" t="str">
        <f>IFERROR(__xludf.DUMMYFUNCTION("""COMPUTED_VALUE"""),"Transportation")</f>
        <v>Transportation</v>
      </c>
      <c r="I536" s="33"/>
      <c r="J536" s="33"/>
      <c r="K536" s="33"/>
    </row>
    <row r="537">
      <c r="A537" s="33" t="str">
        <f>IFERROR(__xludf.DUMMYFUNCTION("""COMPUTED_VALUE"""),"Debt")</f>
        <v>Debt</v>
      </c>
      <c r="B537" s="33" t="str">
        <f>IFERROR(__xludf.DUMMYFUNCTION("""COMPUTED_VALUE"""),"Groceries")</f>
        <v>Groceries</v>
      </c>
      <c r="C537" s="33" t="str">
        <f>IFERROR(__xludf.DUMMYFUNCTION("""COMPUTED_VALUE"""),"Healthcare")</f>
        <v>Healthcare</v>
      </c>
      <c r="D537" s="33" t="str">
        <f>IFERROR(__xludf.DUMMYFUNCTION("""COMPUTED_VALUE"""),"Household Items")</f>
        <v>Household Items</v>
      </c>
      <c r="E537" s="33" t="str">
        <f>IFERROR(__xludf.DUMMYFUNCTION("""COMPUTED_VALUE"""),"Housing")</f>
        <v>Housing</v>
      </c>
      <c r="F537" s="33" t="str">
        <f>IFERROR(__xludf.DUMMYFUNCTION("""COMPUTED_VALUE"""),"Miscellaneous")</f>
        <v>Miscellaneous</v>
      </c>
      <c r="G537" s="33" t="str">
        <f>IFERROR(__xludf.DUMMYFUNCTION("""COMPUTED_VALUE"""),"Pet")</f>
        <v>Pet</v>
      </c>
      <c r="H537" s="33" t="str">
        <f>IFERROR(__xludf.DUMMYFUNCTION("""COMPUTED_VALUE"""),"Transportation")</f>
        <v>Transportation</v>
      </c>
      <c r="I537" s="33"/>
      <c r="J537" s="33"/>
      <c r="K537" s="33"/>
    </row>
    <row r="538">
      <c r="A538" s="33" t="str">
        <f>IFERROR(__xludf.DUMMYFUNCTION("""COMPUTED_VALUE"""),"Debt")</f>
        <v>Debt</v>
      </c>
      <c r="B538" s="33" t="str">
        <f>IFERROR(__xludf.DUMMYFUNCTION("""COMPUTED_VALUE"""),"Groceries")</f>
        <v>Groceries</v>
      </c>
      <c r="C538" s="33" t="str">
        <f>IFERROR(__xludf.DUMMYFUNCTION("""COMPUTED_VALUE"""),"Healthcare")</f>
        <v>Healthcare</v>
      </c>
      <c r="D538" s="33" t="str">
        <f>IFERROR(__xludf.DUMMYFUNCTION("""COMPUTED_VALUE"""),"Household Items")</f>
        <v>Household Items</v>
      </c>
      <c r="E538" s="33" t="str">
        <f>IFERROR(__xludf.DUMMYFUNCTION("""COMPUTED_VALUE"""),"Housing")</f>
        <v>Housing</v>
      </c>
      <c r="F538" s="33" t="str">
        <f>IFERROR(__xludf.DUMMYFUNCTION("""COMPUTED_VALUE"""),"Miscellaneous")</f>
        <v>Miscellaneous</v>
      </c>
      <c r="G538" s="33" t="str">
        <f>IFERROR(__xludf.DUMMYFUNCTION("""COMPUTED_VALUE"""),"Pet")</f>
        <v>Pet</v>
      </c>
      <c r="H538" s="33" t="str">
        <f>IFERROR(__xludf.DUMMYFUNCTION("""COMPUTED_VALUE"""),"Transportation")</f>
        <v>Transportation</v>
      </c>
      <c r="I538" s="33"/>
      <c r="J538" s="33"/>
      <c r="K538" s="33"/>
    </row>
    <row r="539">
      <c r="A539" s="33" t="str">
        <f>IFERROR(__xludf.DUMMYFUNCTION("""COMPUTED_VALUE"""),"Debt")</f>
        <v>Debt</v>
      </c>
      <c r="B539" s="33" t="str">
        <f>IFERROR(__xludf.DUMMYFUNCTION("""COMPUTED_VALUE"""),"Groceries")</f>
        <v>Groceries</v>
      </c>
      <c r="C539" s="33" t="str">
        <f>IFERROR(__xludf.DUMMYFUNCTION("""COMPUTED_VALUE"""),"Healthcare")</f>
        <v>Healthcare</v>
      </c>
      <c r="D539" s="33" t="str">
        <f>IFERROR(__xludf.DUMMYFUNCTION("""COMPUTED_VALUE"""),"Household Items")</f>
        <v>Household Items</v>
      </c>
      <c r="E539" s="33" t="str">
        <f>IFERROR(__xludf.DUMMYFUNCTION("""COMPUTED_VALUE"""),"Housing")</f>
        <v>Housing</v>
      </c>
      <c r="F539" s="33" t="str">
        <f>IFERROR(__xludf.DUMMYFUNCTION("""COMPUTED_VALUE"""),"Miscellaneous")</f>
        <v>Miscellaneous</v>
      </c>
      <c r="G539" s="33" t="str">
        <f>IFERROR(__xludf.DUMMYFUNCTION("""COMPUTED_VALUE"""),"Pet")</f>
        <v>Pet</v>
      </c>
      <c r="H539" s="33" t="str">
        <f>IFERROR(__xludf.DUMMYFUNCTION("""COMPUTED_VALUE"""),"Transportation")</f>
        <v>Transportation</v>
      </c>
      <c r="I539" s="33"/>
      <c r="J539" s="33"/>
      <c r="K539" s="33"/>
    </row>
    <row r="540">
      <c r="A540" s="33" t="str">
        <f>IFERROR(__xludf.DUMMYFUNCTION("""COMPUTED_VALUE"""),"Debt")</f>
        <v>Debt</v>
      </c>
      <c r="B540" s="33" t="str">
        <f>IFERROR(__xludf.DUMMYFUNCTION("""COMPUTED_VALUE"""),"Groceries")</f>
        <v>Groceries</v>
      </c>
      <c r="C540" s="33" t="str">
        <f>IFERROR(__xludf.DUMMYFUNCTION("""COMPUTED_VALUE"""),"Healthcare")</f>
        <v>Healthcare</v>
      </c>
      <c r="D540" s="33" t="str">
        <f>IFERROR(__xludf.DUMMYFUNCTION("""COMPUTED_VALUE"""),"Household Items")</f>
        <v>Household Items</v>
      </c>
      <c r="E540" s="33" t="str">
        <f>IFERROR(__xludf.DUMMYFUNCTION("""COMPUTED_VALUE"""),"Housing")</f>
        <v>Housing</v>
      </c>
      <c r="F540" s="33" t="str">
        <f>IFERROR(__xludf.DUMMYFUNCTION("""COMPUTED_VALUE"""),"Miscellaneous")</f>
        <v>Miscellaneous</v>
      </c>
      <c r="G540" s="33" t="str">
        <f>IFERROR(__xludf.DUMMYFUNCTION("""COMPUTED_VALUE"""),"Pet")</f>
        <v>Pet</v>
      </c>
      <c r="H540" s="33" t="str">
        <f>IFERROR(__xludf.DUMMYFUNCTION("""COMPUTED_VALUE"""),"Transportation")</f>
        <v>Transportation</v>
      </c>
      <c r="I540" s="33"/>
      <c r="J540" s="33"/>
      <c r="K540" s="33"/>
    </row>
    <row r="541">
      <c r="A541" s="33" t="str">
        <f>IFERROR(__xludf.DUMMYFUNCTION("""COMPUTED_VALUE"""),"Clothing")</f>
        <v>Clothing</v>
      </c>
      <c r="B541" s="33" t="str">
        <f>IFERROR(__xludf.DUMMYFUNCTION("""COMPUTED_VALUE"""),"Gaming")</f>
        <v>Gaming</v>
      </c>
      <c r="C541" s="33" t="str">
        <f>IFERROR(__xludf.DUMMYFUNCTION("""COMPUTED_VALUE"""),"Gifts")</f>
        <v>Gifts</v>
      </c>
      <c r="D541" s="33" t="str">
        <f>IFERROR(__xludf.DUMMYFUNCTION("""COMPUTED_VALUE"""),"Healthcare")</f>
        <v>Healthcare</v>
      </c>
      <c r="E541" s="33" t="str">
        <f>IFERROR(__xludf.DUMMYFUNCTION("""COMPUTED_VALUE"""),"Hobbies")</f>
        <v>Hobbies</v>
      </c>
      <c r="F541" s="33" t="str">
        <f>IFERROR(__xludf.DUMMYFUNCTION("""COMPUTED_VALUE"""),"Subscriptions")</f>
        <v>Subscriptions</v>
      </c>
      <c r="G541" s="33"/>
      <c r="H541" s="33"/>
      <c r="I541" s="33"/>
      <c r="J541" s="33"/>
      <c r="K541" s="33"/>
    </row>
    <row r="542">
      <c r="A542" s="33" t="str">
        <f>IFERROR(__xludf.DUMMYFUNCTION("""COMPUTED_VALUE"""),"Clothing")</f>
        <v>Clothing</v>
      </c>
      <c r="B542" s="33" t="str">
        <f>IFERROR(__xludf.DUMMYFUNCTION("""COMPUTED_VALUE"""),"Gifts")</f>
        <v>Gifts</v>
      </c>
      <c r="C542" s="33" t="str">
        <f>IFERROR(__xludf.DUMMYFUNCTION("""COMPUTED_VALUE"""),"Healthcare")</f>
        <v>Healthcare</v>
      </c>
      <c r="D542" s="33" t="str">
        <f>IFERROR(__xludf.DUMMYFUNCTION("""COMPUTED_VALUE"""),"Hobbies")</f>
        <v>Hobbies</v>
      </c>
      <c r="E542" s="33" t="str">
        <f>IFERROR(__xludf.DUMMYFUNCTION("""COMPUTED_VALUE"""),"Organization")</f>
        <v>Organization</v>
      </c>
      <c r="F542" s="33"/>
      <c r="G542" s="33"/>
      <c r="H542" s="33"/>
      <c r="I542" s="33"/>
      <c r="J542" s="33"/>
      <c r="K542" s="33"/>
    </row>
    <row r="543">
      <c r="A543" s="33" t="str">
        <f>IFERROR(__xludf.DUMMYFUNCTION("""COMPUTED_VALUE"""),"Deposit")</f>
        <v>Deposit</v>
      </c>
      <c r="B543" s="33" t="str">
        <f>IFERROR(__xludf.DUMMYFUNCTION("""COMPUTED_VALUE"""),"Withdrawal")</f>
        <v>Withdrawal</v>
      </c>
      <c r="C543" s="33"/>
      <c r="D543" s="33"/>
      <c r="E543" s="33"/>
      <c r="F543" s="33"/>
      <c r="G543" s="33"/>
      <c r="H543" s="33"/>
      <c r="I543" s="33"/>
      <c r="J543" s="33"/>
      <c r="K543" s="33"/>
    </row>
    <row r="544">
      <c r="A544" s="33" t="str">
        <f>IFERROR(__xludf.DUMMYFUNCTION("""COMPUTED_VALUE"""),"Deposit")</f>
        <v>Deposit</v>
      </c>
      <c r="B544" s="33" t="str">
        <f>IFERROR(__xludf.DUMMYFUNCTION("""COMPUTED_VALUE"""),"Withdrawal")</f>
        <v>Withdrawal</v>
      </c>
      <c r="C544" s="33"/>
      <c r="D544" s="33"/>
      <c r="E544" s="33"/>
      <c r="F544" s="33"/>
      <c r="G544" s="33"/>
      <c r="H544" s="33"/>
      <c r="I544" s="33"/>
      <c r="J544" s="33"/>
      <c r="K544" s="33"/>
    </row>
    <row r="545">
      <c r="A545" s="33" t="str">
        <f>IFERROR(__xludf.DUMMYFUNCTION("""COMPUTED_VALUE"""),"Dining Out")</f>
        <v>Dining Out</v>
      </c>
      <c r="B545" s="33" t="str">
        <f>IFERROR(__xludf.DUMMYFUNCTION("""COMPUTED_VALUE"""),"Entertainment")</f>
        <v>Entertainment</v>
      </c>
      <c r="C545" s="33" t="str">
        <f>IFERROR(__xludf.DUMMYFUNCTION("""COMPUTED_VALUE"""),"Gaming")</f>
        <v>Gaming</v>
      </c>
      <c r="D545" s="33" t="str">
        <f>IFERROR(__xludf.DUMMYFUNCTION("""COMPUTED_VALUE"""),"Gifts")</f>
        <v>Gifts</v>
      </c>
      <c r="E545" s="33" t="str">
        <f>IFERROR(__xludf.DUMMYFUNCTION("""COMPUTED_VALUE"""),"Groceries")</f>
        <v>Groceries</v>
      </c>
      <c r="F545" s="33" t="str">
        <f>IFERROR(__xludf.DUMMYFUNCTION("""COMPUTED_VALUE"""),"Healthcare")</f>
        <v>Healthcare</v>
      </c>
      <c r="G545" s="33" t="str">
        <f>IFERROR(__xludf.DUMMYFUNCTION("""COMPUTED_VALUE"""),"Hobbies")</f>
        <v>Hobbies</v>
      </c>
      <c r="H545" s="33" t="str">
        <f>IFERROR(__xludf.DUMMYFUNCTION("""COMPUTED_VALUE"""),"Household Items")</f>
        <v>Household Items</v>
      </c>
      <c r="I545" s="33" t="str">
        <f>IFERROR(__xludf.DUMMYFUNCTION("""COMPUTED_VALUE"""),"Subscriptions")</f>
        <v>Subscriptions</v>
      </c>
      <c r="J545" s="33" t="str">
        <f>IFERROR(__xludf.DUMMYFUNCTION("""COMPUTED_VALUE"""),"Transportation")</f>
        <v>Transportation</v>
      </c>
      <c r="K545" s="33" t="str">
        <f>IFERROR(__xludf.DUMMYFUNCTION("""COMPUTED_VALUE"""),"Travel")</f>
        <v>Travel</v>
      </c>
    </row>
    <row r="546">
      <c r="A546" s="33" t="str">
        <f>IFERROR(__xludf.DUMMYFUNCTION("""COMPUTED_VALUE"""),"Debt")</f>
        <v>Debt</v>
      </c>
      <c r="B546" s="33" t="str">
        <f>IFERROR(__xludf.DUMMYFUNCTION("""COMPUTED_VALUE"""),"Groceries")</f>
        <v>Groceries</v>
      </c>
      <c r="C546" s="33" t="str">
        <f>IFERROR(__xludf.DUMMYFUNCTION("""COMPUTED_VALUE"""),"Healthcare")</f>
        <v>Healthcare</v>
      </c>
      <c r="D546" s="33" t="str">
        <f>IFERROR(__xludf.DUMMYFUNCTION("""COMPUTED_VALUE"""),"Household Items")</f>
        <v>Household Items</v>
      </c>
      <c r="E546" s="33" t="str">
        <f>IFERROR(__xludf.DUMMYFUNCTION("""COMPUTED_VALUE"""),"Housing")</f>
        <v>Housing</v>
      </c>
      <c r="F546" s="33" t="str">
        <f>IFERROR(__xludf.DUMMYFUNCTION("""COMPUTED_VALUE"""),"Miscellaneous")</f>
        <v>Miscellaneous</v>
      </c>
      <c r="G546" s="33" t="str">
        <f>IFERROR(__xludf.DUMMYFUNCTION("""COMPUTED_VALUE"""),"Pet")</f>
        <v>Pet</v>
      </c>
      <c r="H546" s="33" t="str">
        <f>IFERROR(__xludf.DUMMYFUNCTION("""COMPUTED_VALUE"""),"Transportation")</f>
        <v>Transportation</v>
      </c>
      <c r="I546" s="33"/>
      <c r="J546" s="33"/>
      <c r="K546" s="33"/>
    </row>
    <row r="547">
      <c r="A547" s="33" t="str">
        <f>IFERROR(__xludf.DUMMYFUNCTION("""COMPUTED_VALUE"""),"Dining Out")</f>
        <v>Dining Out</v>
      </c>
      <c r="B547" s="33" t="str">
        <f>IFERROR(__xludf.DUMMYFUNCTION("""COMPUTED_VALUE"""),"Entertainment")</f>
        <v>Entertainment</v>
      </c>
      <c r="C547" s="33" t="str">
        <f>IFERROR(__xludf.DUMMYFUNCTION("""COMPUTED_VALUE"""),"Gaming")</f>
        <v>Gaming</v>
      </c>
      <c r="D547" s="33" t="str">
        <f>IFERROR(__xludf.DUMMYFUNCTION("""COMPUTED_VALUE"""),"Gifts")</f>
        <v>Gifts</v>
      </c>
      <c r="E547" s="33" t="str">
        <f>IFERROR(__xludf.DUMMYFUNCTION("""COMPUTED_VALUE"""),"Groceries")</f>
        <v>Groceries</v>
      </c>
      <c r="F547" s="33" t="str">
        <f>IFERROR(__xludf.DUMMYFUNCTION("""COMPUTED_VALUE"""),"Healthcare")</f>
        <v>Healthcare</v>
      </c>
      <c r="G547" s="33" t="str">
        <f>IFERROR(__xludf.DUMMYFUNCTION("""COMPUTED_VALUE"""),"Hobbies")</f>
        <v>Hobbies</v>
      </c>
      <c r="H547" s="33" t="str">
        <f>IFERROR(__xludf.DUMMYFUNCTION("""COMPUTED_VALUE"""),"Household Items")</f>
        <v>Household Items</v>
      </c>
      <c r="I547" s="33" t="str">
        <f>IFERROR(__xludf.DUMMYFUNCTION("""COMPUTED_VALUE"""),"Subscriptions")</f>
        <v>Subscriptions</v>
      </c>
      <c r="J547" s="33" t="str">
        <f>IFERROR(__xludf.DUMMYFUNCTION("""COMPUTED_VALUE"""),"Transportation")</f>
        <v>Transportation</v>
      </c>
      <c r="K547" s="33" t="str">
        <f>IFERROR(__xludf.DUMMYFUNCTION("""COMPUTED_VALUE"""),"Travel")</f>
        <v>Travel</v>
      </c>
    </row>
    <row r="548">
      <c r="A548" s="33" t="str">
        <f>IFERROR(__xludf.DUMMYFUNCTION("""COMPUTED_VALUE"""),"Debt")</f>
        <v>Debt</v>
      </c>
      <c r="B548" s="33" t="str">
        <f>IFERROR(__xludf.DUMMYFUNCTION("""COMPUTED_VALUE"""),"Groceries")</f>
        <v>Groceries</v>
      </c>
      <c r="C548" s="33" t="str">
        <f>IFERROR(__xludf.DUMMYFUNCTION("""COMPUTED_VALUE"""),"Healthcare")</f>
        <v>Healthcare</v>
      </c>
      <c r="D548" s="33" t="str">
        <f>IFERROR(__xludf.DUMMYFUNCTION("""COMPUTED_VALUE"""),"Household Items")</f>
        <v>Household Items</v>
      </c>
      <c r="E548" s="33" t="str">
        <f>IFERROR(__xludf.DUMMYFUNCTION("""COMPUTED_VALUE"""),"Housing")</f>
        <v>Housing</v>
      </c>
      <c r="F548" s="33" t="str">
        <f>IFERROR(__xludf.DUMMYFUNCTION("""COMPUTED_VALUE"""),"Miscellaneous")</f>
        <v>Miscellaneous</v>
      </c>
      <c r="G548" s="33" t="str">
        <f>IFERROR(__xludf.DUMMYFUNCTION("""COMPUTED_VALUE"""),"Pet")</f>
        <v>Pet</v>
      </c>
      <c r="H548" s="33" t="str">
        <f>IFERROR(__xludf.DUMMYFUNCTION("""COMPUTED_VALUE"""),"Transportation")</f>
        <v>Transportation</v>
      </c>
      <c r="I548" s="33"/>
      <c r="J548" s="33"/>
      <c r="K548" s="33"/>
    </row>
    <row r="549">
      <c r="A549" s="33" t="str">
        <f>IFERROR(__xludf.DUMMYFUNCTION("""COMPUTED_VALUE"""),"Debt")</f>
        <v>Debt</v>
      </c>
      <c r="B549" s="33" t="str">
        <f>IFERROR(__xludf.DUMMYFUNCTION("""COMPUTED_VALUE"""),"Groceries")</f>
        <v>Groceries</v>
      </c>
      <c r="C549" s="33" t="str">
        <f>IFERROR(__xludf.DUMMYFUNCTION("""COMPUTED_VALUE"""),"Healthcare")</f>
        <v>Healthcare</v>
      </c>
      <c r="D549" s="33" t="str">
        <f>IFERROR(__xludf.DUMMYFUNCTION("""COMPUTED_VALUE"""),"Household Items")</f>
        <v>Household Items</v>
      </c>
      <c r="E549" s="33" t="str">
        <f>IFERROR(__xludf.DUMMYFUNCTION("""COMPUTED_VALUE"""),"Housing")</f>
        <v>Housing</v>
      </c>
      <c r="F549" s="33" t="str">
        <f>IFERROR(__xludf.DUMMYFUNCTION("""COMPUTED_VALUE"""),"Miscellaneous")</f>
        <v>Miscellaneous</v>
      </c>
      <c r="G549" s="33" t="str">
        <f>IFERROR(__xludf.DUMMYFUNCTION("""COMPUTED_VALUE"""),"Pet")</f>
        <v>Pet</v>
      </c>
      <c r="H549" s="33" t="str">
        <f>IFERROR(__xludf.DUMMYFUNCTION("""COMPUTED_VALUE"""),"Transportation")</f>
        <v>Transportation</v>
      </c>
      <c r="I549" s="33"/>
      <c r="J549" s="33"/>
      <c r="K549" s="33"/>
    </row>
    <row r="550">
      <c r="A550" s="33" t="str">
        <f>IFERROR(__xludf.DUMMYFUNCTION("""COMPUTED_VALUE"""),"Debt")</f>
        <v>Debt</v>
      </c>
      <c r="B550" s="33" t="str">
        <f>IFERROR(__xludf.DUMMYFUNCTION("""COMPUTED_VALUE"""),"Groceries")</f>
        <v>Groceries</v>
      </c>
      <c r="C550" s="33" t="str">
        <f>IFERROR(__xludf.DUMMYFUNCTION("""COMPUTED_VALUE"""),"Healthcare")</f>
        <v>Healthcare</v>
      </c>
      <c r="D550" s="33" t="str">
        <f>IFERROR(__xludf.DUMMYFUNCTION("""COMPUTED_VALUE"""),"Household Items")</f>
        <v>Household Items</v>
      </c>
      <c r="E550" s="33" t="str">
        <f>IFERROR(__xludf.DUMMYFUNCTION("""COMPUTED_VALUE"""),"Housing")</f>
        <v>Housing</v>
      </c>
      <c r="F550" s="33" t="str">
        <f>IFERROR(__xludf.DUMMYFUNCTION("""COMPUTED_VALUE"""),"Miscellaneous")</f>
        <v>Miscellaneous</v>
      </c>
      <c r="G550" s="33" t="str">
        <f>IFERROR(__xludf.DUMMYFUNCTION("""COMPUTED_VALUE"""),"Pet")</f>
        <v>Pet</v>
      </c>
      <c r="H550" s="33" t="str">
        <f>IFERROR(__xludf.DUMMYFUNCTION("""COMPUTED_VALUE"""),"Transportation")</f>
        <v>Transportation</v>
      </c>
      <c r="I550" s="33"/>
      <c r="J550" s="33"/>
      <c r="K550" s="33"/>
    </row>
    <row r="551">
      <c r="A551" s="33" t="str">
        <f>IFERROR(__xludf.DUMMYFUNCTION("""COMPUTED_VALUE"""),"Debt")</f>
        <v>Debt</v>
      </c>
      <c r="B551" s="33" t="str">
        <f>IFERROR(__xludf.DUMMYFUNCTION("""COMPUTED_VALUE"""),"Groceries")</f>
        <v>Groceries</v>
      </c>
      <c r="C551" s="33" t="str">
        <f>IFERROR(__xludf.DUMMYFUNCTION("""COMPUTED_VALUE"""),"Healthcare")</f>
        <v>Healthcare</v>
      </c>
      <c r="D551" s="33" t="str">
        <f>IFERROR(__xludf.DUMMYFUNCTION("""COMPUTED_VALUE"""),"Household Items")</f>
        <v>Household Items</v>
      </c>
      <c r="E551" s="33" t="str">
        <f>IFERROR(__xludf.DUMMYFUNCTION("""COMPUTED_VALUE"""),"Housing")</f>
        <v>Housing</v>
      </c>
      <c r="F551" s="33" t="str">
        <f>IFERROR(__xludf.DUMMYFUNCTION("""COMPUTED_VALUE"""),"Miscellaneous")</f>
        <v>Miscellaneous</v>
      </c>
      <c r="G551" s="33" t="str">
        <f>IFERROR(__xludf.DUMMYFUNCTION("""COMPUTED_VALUE"""),"Pet")</f>
        <v>Pet</v>
      </c>
      <c r="H551" s="33" t="str">
        <f>IFERROR(__xludf.DUMMYFUNCTION("""COMPUTED_VALUE"""),"Transportation")</f>
        <v>Transportation</v>
      </c>
      <c r="I551" s="33"/>
      <c r="J551" s="33"/>
      <c r="K551" s="33"/>
    </row>
    <row r="552">
      <c r="A552" s="33" t="str">
        <f>IFERROR(__xludf.DUMMYFUNCTION("""COMPUTED_VALUE"""),"FHSA")</f>
        <v>FHSA</v>
      </c>
      <c r="B552" s="33" t="str">
        <f>IFERROR(__xludf.DUMMYFUNCTION("""COMPUTED_VALUE"""),"RRSP")</f>
        <v>RRSP</v>
      </c>
      <c r="C552" s="33" t="str">
        <f>IFERROR(__xludf.DUMMYFUNCTION("""COMPUTED_VALUE"""),"TFSA")</f>
        <v>TFSA</v>
      </c>
      <c r="D552" s="33"/>
      <c r="E552" s="33"/>
      <c r="F552" s="33"/>
      <c r="G552" s="33"/>
      <c r="H552" s="33"/>
      <c r="I552" s="33"/>
      <c r="J552" s="33"/>
      <c r="K552" s="33"/>
    </row>
    <row r="553">
      <c r="A553" s="33" t="str">
        <f>IFERROR(__xludf.DUMMYFUNCTION("""COMPUTED_VALUE"""),"Deposit")</f>
        <v>Deposit</v>
      </c>
      <c r="B553" s="33" t="str">
        <f>IFERROR(__xludf.DUMMYFUNCTION("""COMPUTED_VALUE"""),"Withdrawal")</f>
        <v>Withdrawal</v>
      </c>
      <c r="C553" s="33"/>
      <c r="D553" s="33"/>
      <c r="E553" s="33"/>
      <c r="F553" s="33"/>
      <c r="G553" s="33"/>
      <c r="H553" s="33"/>
      <c r="I553" s="33"/>
      <c r="J553" s="33"/>
      <c r="K553" s="33"/>
    </row>
    <row r="554">
      <c r="A554" s="33" t="str">
        <f>IFERROR(__xludf.DUMMYFUNCTION("""COMPUTED_VALUE"""),"FHSA")</f>
        <v>FHSA</v>
      </c>
      <c r="B554" s="33" t="str">
        <f>IFERROR(__xludf.DUMMYFUNCTION("""COMPUTED_VALUE"""),"RRSP")</f>
        <v>RRSP</v>
      </c>
      <c r="C554" s="33" t="str">
        <f>IFERROR(__xludf.DUMMYFUNCTION("""COMPUTED_VALUE"""),"TFSA")</f>
        <v>TFSA</v>
      </c>
      <c r="D554" s="33"/>
      <c r="E554" s="33"/>
      <c r="F554" s="33"/>
      <c r="G554" s="33"/>
      <c r="H554" s="33"/>
      <c r="I554" s="33"/>
      <c r="J554" s="33"/>
      <c r="K554" s="33"/>
    </row>
    <row r="555">
      <c r="A555" s="33" t="str">
        <f>IFERROR(__xludf.DUMMYFUNCTION("""COMPUTED_VALUE"""),"Deposit")</f>
        <v>Deposit</v>
      </c>
      <c r="B555" s="33" t="str">
        <f>IFERROR(__xludf.DUMMYFUNCTION("""COMPUTED_VALUE"""),"Withdrawal")</f>
        <v>Withdrawal</v>
      </c>
      <c r="C555" s="33"/>
      <c r="D555" s="33"/>
      <c r="E555" s="33"/>
      <c r="F555" s="33"/>
      <c r="G555" s="33"/>
      <c r="H555" s="33"/>
      <c r="I555" s="33"/>
      <c r="J555" s="33"/>
      <c r="K555" s="33"/>
    </row>
    <row r="556">
      <c r="A556" s="33" t="str">
        <f>IFERROR(__xludf.DUMMYFUNCTION("""COMPUTED_VALUE"""),"Deposit")</f>
        <v>Deposit</v>
      </c>
      <c r="B556" s="33" t="str">
        <f>IFERROR(__xludf.DUMMYFUNCTION("""COMPUTED_VALUE"""),"Withdrawal")</f>
        <v>Withdrawal</v>
      </c>
      <c r="C556" s="33"/>
      <c r="D556" s="33"/>
      <c r="E556" s="33"/>
      <c r="F556" s="33"/>
      <c r="G556" s="33"/>
      <c r="H556" s="33"/>
      <c r="I556" s="33"/>
      <c r="J556" s="33"/>
      <c r="K556" s="33"/>
    </row>
    <row r="557">
      <c r="A557" s="33" t="str">
        <f>IFERROR(__xludf.DUMMYFUNCTION("""COMPUTED_VALUE"""),"Deposit")</f>
        <v>Deposit</v>
      </c>
      <c r="B557" s="33" t="str">
        <f>IFERROR(__xludf.DUMMYFUNCTION("""COMPUTED_VALUE"""),"Withdrawal")</f>
        <v>Withdrawal</v>
      </c>
      <c r="C557" s="33"/>
      <c r="D557" s="33"/>
      <c r="E557" s="33"/>
      <c r="F557" s="33"/>
      <c r="G557" s="33"/>
      <c r="H557" s="33"/>
      <c r="I557" s="33"/>
      <c r="J557" s="33"/>
      <c r="K557" s="33"/>
    </row>
    <row r="558">
      <c r="A558" s="33" t="str">
        <f>IFERROR(__xludf.DUMMYFUNCTION("""COMPUTED_VALUE"""),"Cashback")</f>
        <v>Cashback</v>
      </c>
      <c r="B558" s="33" t="str">
        <f>IFERROR(__xludf.DUMMYFUNCTION("""COMPUTED_VALUE"""),"Investment Returns")</f>
        <v>Investment Returns</v>
      </c>
      <c r="C558" s="33" t="str">
        <f>IFERROR(__xludf.DUMMYFUNCTION("""COMPUTED_VALUE"""),"Paycheck")</f>
        <v>Paycheck</v>
      </c>
      <c r="D558" s="33" t="str">
        <f>IFERROR(__xludf.DUMMYFUNCTION("""COMPUTED_VALUE"""),"Reimbursement")</f>
        <v>Reimbursement</v>
      </c>
      <c r="E558" s="33" t="str">
        <f>IFERROR(__xludf.DUMMYFUNCTION("""COMPUTED_VALUE"""),"Rewards")</f>
        <v>Rewards</v>
      </c>
      <c r="F558" s="33"/>
      <c r="G558" s="33"/>
      <c r="H558" s="33"/>
      <c r="I558" s="33"/>
      <c r="J558" s="33"/>
      <c r="K558" s="33"/>
    </row>
    <row r="559">
      <c r="A559" s="33" t="str">
        <f>IFERROR(__xludf.DUMMYFUNCTION("""COMPUTED_VALUE"""),"Cashback")</f>
        <v>Cashback</v>
      </c>
      <c r="B559" s="33" t="str">
        <f>IFERROR(__xludf.DUMMYFUNCTION("""COMPUTED_VALUE"""),"Investment Returns")</f>
        <v>Investment Returns</v>
      </c>
      <c r="C559" s="33" t="str">
        <f>IFERROR(__xludf.DUMMYFUNCTION("""COMPUTED_VALUE"""),"Paycheck")</f>
        <v>Paycheck</v>
      </c>
      <c r="D559" s="33" t="str">
        <f>IFERROR(__xludf.DUMMYFUNCTION("""COMPUTED_VALUE"""),"Reimbursement")</f>
        <v>Reimbursement</v>
      </c>
      <c r="E559" s="33" t="str">
        <f>IFERROR(__xludf.DUMMYFUNCTION("""COMPUTED_VALUE"""),"Rewards")</f>
        <v>Rewards</v>
      </c>
      <c r="F559" s="33"/>
      <c r="G559" s="33"/>
      <c r="H559" s="33"/>
      <c r="I559" s="33"/>
      <c r="J559" s="33"/>
      <c r="K559" s="33"/>
    </row>
    <row r="560">
      <c r="A560" s="33" t="str">
        <f>IFERROR(__xludf.DUMMYFUNCTION("""COMPUTED_VALUE"""),"Debt")</f>
        <v>Debt</v>
      </c>
      <c r="B560" s="33" t="str">
        <f>IFERROR(__xludf.DUMMYFUNCTION("""COMPUTED_VALUE"""),"Groceries")</f>
        <v>Groceries</v>
      </c>
      <c r="C560" s="33" t="str">
        <f>IFERROR(__xludf.DUMMYFUNCTION("""COMPUTED_VALUE"""),"Healthcare")</f>
        <v>Healthcare</v>
      </c>
      <c r="D560" s="33" t="str">
        <f>IFERROR(__xludf.DUMMYFUNCTION("""COMPUTED_VALUE"""),"Household Items")</f>
        <v>Household Items</v>
      </c>
      <c r="E560" s="33" t="str">
        <f>IFERROR(__xludf.DUMMYFUNCTION("""COMPUTED_VALUE"""),"Housing")</f>
        <v>Housing</v>
      </c>
      <c r="F560" s="33" t="str">
        <f>IFERROR(__xludf.DUMMYFUNCTION("""COMPUTED_VALUE"""),"Miscellaneous")</f>
        <v>Miscellaneous</v>
      </c>
      <c r="G560" s="33" t="str">
        <f>IFERROR(__xludf.DUMMYFUNCTION("""COMPUTED_VALUE"""),"Pet")</f>
        <v>Pet</v>
      </c>
      <c r="H560" s="33" t="str">
        <f>IFERROR(__xludf.DUMMYFUNCTION("""COMPUTED_VALUE"""),"Transportation")</f>
        <v>Transportation</v>
      </c>
      <c r="I560" s="33"/>
      <c r="J560" s="33"/>
      <c r="K560" s="33"/>
    </row>
    <row r="561">
      <c r="A561" s="33" t="str">
        <f>IFERROR(__xludf.DUMMYFUNCTION("""COMPUTED_VALUE"""),"Debt")</f>
        <v>Debt</v>
      </c>
      <c r="B561" s="33" t="str">
        <f>IFERROR(__xludf.DUMMYFUNCTION("""COMPUTED_VALUE"""),"Groceries")</f>
        <v>Groceries</v>
      </c>
      <c r="C561" s="33" t="str">
        <f>IFERROR(__xludf.DUMMYFUNCTION("""COMPUTED_VALUE"""),"Healthcare")</f>
        <v>Healthcare</v>
      </c>
      <c r="D561" s="33" t="str">
        <f>IFERROR(__xludf.DUMMYFUNCTION("""COMPUTED_VALUE"""),"Household Items")</f>
        <v>Household Items</v>
      </c>
      <c r="E561" s="33" t="str">
        <f>IFERROR(__xludf.DUMMYFUNCTION("""COMPUTED_VALUE"""),"Housing")</f>
        <v>Housing</v>
      </c>
      <c r="F561" s="33" t="str">
        <f>IFERROR(__xludf.DUMMYFUNCTION("""COMPUTED_VALUE"""),"Miscellaneous")</f>
        <v>Miscellaneous</v>
      </c>
      <c r="G561" s="33" t="str">
        <f>IFERROR(__xludf.DUMMYFUNCTION("""COMPUTED_VALUE"""),"Pet")</f>
        <v>Pet</v>
      </c>
      <c r="H561" s="33" t="str">
        <f>IFERROR(__xludf.DUMMYFUNCTION("""COMPUTED_VALUE"""),"Transportation")</f>
        <v>Transportation</v>
      </c>
      <c r="I561" s="33"/>
      <c r="J561" s="33"/>
      <c r="K561" s="33"/>
    </row>
    <row r="562">
      <c r="A562" s="33" t="str">
        <f>IFERROR(__xludf.DUMMYFUNCTION("""COMPUTED_VALUE"""),"Debt")</f>
        <v>Debt</v>
      </c>
      <c r="B562" s="33" t="str">
        <f>IFERROR(__xludf.DUMMYFUNCTION("""COMPUTED_VALUE"""),"Groceries")</f>
        <v>Groceries</v>
      </c>
      <c r="C562" s="33" t="str">
        <f>IFERROR(__xludf.DUMMYFUNCTION("""COMPUTED_VALUE"""),"Healthcare")</f>
        <v>Healthcare</v>
      </c>
      <c r="D562" s="33" t="str">
        <f>IFERROR(__xludf.DUMMYFUNCTION("""COMPUTED_VALUE"""),"Household Items")</f>
        <v>Household Items</v>
      </c>
      <c r="E562" s="33" t="str">
        <f>IFERROR(__xludf.DUMMYFUNCTION("""COMPUTED_VALUE"""),"Housing")</f>
        <v>Housing</v>
      </c>
      <c r="F562" s="33" t="str">
        <f>IFERROR(__xludf.DUMMYFUNCTION("""COMPUTED_VALUE"""),"Miscellaneous")</f>
        <v>Miscellaneous</v>
      </c>
      <c r="G562" s="33" t="str">
        <f>IFERROR(__xludf.DUMMYFUNCTION("""COMPUTED_VALUE"""),"Pet")</f>
        <v>Pet</v>
      </c>
      <c r="H562" s="33" t="str">
        <f>IFERROR(__xludf.DUMMYFUNCTION("""COMPUTED_VALUE"""),"Transportation")</f>
        <v>Transportation</v>
      </c>
      <c r="I562" s="33"/>
      <c r="J562" s="33"/>
      <c r="K562" s="33"/>
    </row>
    <row r="563">
      <c r="A563" s="33" t="str">
        <f>IFERROR(__xludf.DUMMYFUNCTION("""COMPUTED_VALUE"""),"Debt")</f>
        <v>Debt</v>
      </c>
      <c r="B563" s="33" t="str">
        <f>IFERROR(__xludf.DUMMYFUNCTION("""COMPUTED_VALUE"""),"Groceries")</f>
        <v>Groceries</v>
      </c>
      <c r="C563" s="33" t="str">
        <f>IFERROR(__xludf.DUMMYFUNCTION("""COMPUTED_VALUE"""),"Healthcare")</f>
        <v>Healthcare</v>
      </c>
      <c r="D563" s="33" t="str">
        <f>IFERROR(__xludf.DUMMYFUNCTION("""COMPUTED_VALUE"""),"Household Items")</f>
        <v>Household Items</v>
      </c>
      <c r="E563" s="33" t="str">
        <f>IFERROR(__xludf.DUMMYFUNCTION("""COMPUTED_VALUE"""),"Housing")</f>
        <v>Housing</v>
      </c>
      <c r="F563" s="33" t="str">
        <f>IFERROR(__xludf.DUMMYFUNCTION("""COMPUTED_VALUE"""),"Miscellaneous")</f>
        <v>Miscellaneous</v>
      </c>
      <c r="G563" s="33" t="str">
        <f>IFERROR(__xludf.DUMMYFUNCTION("""COMPUTED_VALUE"""),"Pet")</f>
        <v>Pet</v>
      </c>
      <c r="H563" s="33" t="str">
        <f>IFERROR(__xludf.DUMMYFUNCTION("""COMPUTED_VALUE"""),"Transportation")</f>
        <v>Transportation</v>
      </c>
      <c r="I563" s="33"/>
      <c r="J563" s="33"/>
      <c r="K563" s="33"/>
    </row>
    <row r="564">
      <c r="A564" s="33" t="str">
        <f>IFERROR(__xludf.DUMMYFUNCTION("""COMPUTED_VALUE"""),"Debt")</f>
        <v>Debt</v>
      </c>
      <c r="B564" s="33" t="str">
        <f>IFERROR(__xludf.DUMMYFUNCTION("""COMPUTED_VALUE"""),"Groceries")</f>
        <v>Groceries</v>
      </c>
      <c r="C564" s="33" t="str">
        <f>IFERROR(__xludf.DUMMYFUNCTION("""COMPUTED_VALUE"""),"Healthcare")</f>
        <v>Healthcare</v>
      </c>
      <c r="D564" s="33" t="str">
        <f>IFERROR(__xludf.DUMMYFUNCTION("""COMPUTED_VALUE"""),"Household Items")</f>
        <v>Household Items</v>
      </c>
      <c r="E564" s="33" t="str">
        <f>IFERROR(__xludf.DUMMYFUNCTION("""COMPUTED_VALUE"""),"Housing")</f>
        <v>Housing</v>
      </c>
      <c r="F564" s="33" t="str">
        <f>IFERROR(__xludf.DUMMYFUNCTION("""COMPUTED_VALUE"""),"Miscellaneous")</f>
        <v>Miscellaneous</v>
      </c>
      <c r="G564" s="33" t="str">
        <f>IFERROR(__xludf.DUMMYFUNCTION("""COMPUTED_VALUE"""),"Pet")</f>
        <v>Pet</v>
      </c>
      <c r="H564" s="33" t="str">
        <f>IFERROR(__xludf.DUMMYFUNCTION("""COMPUTED_VALUE"""),"Transportation")</f>
        <v>Transportation</v>
      </c>
      <c r="I564" s="33"/>
      <c r="J564" s="33"/>
      <c r="K564" s="33"/>
    </row>
    <row r="565">
      <c r="A565" s="33" t="str">
        <f>IFERROR(__xludf.DUMMYFUNCTION("""COMPUTED_VALUE"""),"Debt")</f>
        <v>Debt</v>
      </c>
      <c r="B565" s="33" t="str">
        <f>IFERROR(__xludf.DUMMYFUNCTION("""COMPUTED_VALUE"""),"Groceries")</f>
        <v>Groceries</v>
      </c>
      <c r="C565" s="33" t="str">
        <f>IFERROR(__xludf.DUMMYFUNCTION("""COMPUTED_VALUE"""),"Healthcare")</f>
        <v>Healthcare</v>
      </c>
      <c r="D565" s="33" t="str">
        <f>IFERROR(__xludf.DUMMYFUNCTION("""COMPUTED_VALUE"""),"Household Items")</f>
        <v>Household Items</v>
      </c>
      <c r="E565" s="33" t="str">
        <f>IFERROR(__xludf.DUMMYFUNCTION("""COMPUTED_VALUE"""),"Housing")</f>
        <v>Housing</v>
      </c>
      <c r="F565" s="33" t="str">
        <f>IFERROR(__xludf.DUMMYFUNCTION("""COMPUTED_VALUE"""),"Miscellaneous")</f>
        <v>Miscellaneous</v>
      </c>
      <c r="G565" s="33" t="str">
        <f>IFERROR(__xludf.DUMMYFUNCTION("""COMPUTED_VALUE"""),"Pet")</f>
        <v>Pet</v>
      </c>
      <c r="H565" s="33" t="str">
        <f>IFERROR(__xludf.DUMMYFUNCTION("""COMPUTED_VALUE"""),"Transportation")</f>
        <v>Transportation</v>
      </c>
      <c r="I565" s="33"/>
      <c r="J565" s="33"/>
      <c r="K565" s="33"/>
    </row>
    <row r="566">
      <c r="A566" s="33" t="str">
        <f>IFERROR(__xludf.DUMMYFUNCTION("""COMPUTED_VALUE"""),"Debt")</f>
        <v>Debt</v>
      </c>
      <c r="B566" s="33" t="str">
        <f>IFERROR(__xludf.DUMMYFUNCTION("""COMPUTED_VALUE"""),"Groceries")</f>
        <v>Groceries</v>
      </c>
      <c r="C566" s="33" t="str">
        <f>IFERROR(__xludf.DUMMYFUNCTION("""COMPUTED_VALUE"""),"Healthcare")</f>
        <v>Healthcare</v>
      </c>
      <c r="D566" s="33" t="str">
        <f>IFERROR(__xludf.DUMMYFUNCTION("""COMPUTED_VALUE"""),"Household Items")</f>
        <v>Household Items</v>
      </c>
      <c r="E566" s="33" t="str">
        <f>IFERROR(__xludf.DUMMYFUNCTION("""COMPUTED_VALUE"""),"Housing")</f>
        <v>Housing</v>
      </c>
      <c r="F566" s="33" t="str">
        <f>IFERROR(__xludf.DUMMYFUNCTION("""COMPUTED_VALUE"""),"Miscellaneous")</f>
        <v>Miscellaneous</v>
      </c>
      <c r="G566" s="33" t="str">
        <f>IFERROR(__xludf.DUMMYFUNCTION("""COMPUTED_VALUE"""),"Pet")</f>
        <v>Pet</v>
      </c>
      <c r="H566" s="33" t="str">
        <f>IFERROR(__xludf.DUMMYFUNCTION("""COMPUTED_VALUE"""),"Transportation")</f>
        <v>Transportation</v>
      </c>
      <c r="I566" s="33"/>
      <c r="J566" s="33"/>
      <c r="K566" s="33"/>
    </row>
    <row r="567">
      <c r="A567" s="33" t="str">
        <f>IFERROR(__xludf.DUMMYFUNCTION("""COMPUTED_VALUE"""),"Debt")</f>
        <v>Debt</v>
      </c>
      <c r="B567" s="33" t="str">
        <f>IFERROR(__xludf.DUMMYFUNCTION("""COMPUTED_VALUE"""),"Groceries")</f>
        <v>Groceries</v>
      </c>
      <c r="C567" s="33" t="str">
        <f>IFERROR(__xludf.DUMMYFUNCTION("""COMPUTED_VALUE"""),"Healthcare")</f>
        <v>Healthcare</v>
      </c>
      <c r="D567" s="33" t="str">
        <f>IFERROR(__xludf.DUMMYFUNCTION("""COMPUTED_VALUE"""),"Household Items")</f>
        <v>Household Items</v>
      </c>
      <c r="E567" s="33" t="str">
        <f>IFERROR(__xludf.DUMMYFUNCTION("""COMPUTED_VALUE"""),"Housing")</f>
        <v>Housing</v>
      </c>
      <c r="F567" s="33" t="str">
        <f>IFERROR(__xludf.DUMMYFUNCTION("""COMPUTED_VALUE"""),"Miscellaneous")</f>
        <v>Miscellaneous</v>
      </c>
      <c r="G567" s="33" t="str">
        <f>IFERROR(__xludf.DUMMYFUNCTION("""COMPUTED_VALUE"""),"Pet")</f>
        <v>Pet</v>
      </c>
      <c r="H567" s="33" t="str">
        <f>IFERROR(__xludf.DUMMYFUNCTION("""COMPUTED_VALUE"""),"Transportation")</f>
        <v>Transportation</v>
      </c>
      <c r="I567" s="33"/>
      <c r="J567" s="33"/>
      <c r="K567" s="33"/>
    </row>
    <row r="568">
      <c r="A568" s="33" t="str">
        <f>IFERROR(__xludf.DUMMYFUNCTION("""COMPUTED_VALUE"""),"Debt")</f>
        <v>Debt</v>
      </c>
      <c r="B568" s="33" t="str">
        <f>IFERROR(__xludf.DUMMYFUNCTION("""COMPUTED_VALUE"""),"Groceries")</f>
        <v>Groceries</v>
      </c>
      <c r="C568" s="33" t="str">
        <f>IFERROR(__xludf.DUMMYFUNCTION("""COMPUTED_VALUE"""),"Healthcare")</f>
        <v>Healthcare</v>
      </c>
      <c r="D568" s="33" t="str">
        <f>IFERROR(__xludf.DUMMYFUNCTION("""COMPUTED_VALUE"""),"Household Items")</f>
        <v>Household Items</v>
      </c>
      <c r="E568" s="33" t="str">
        <f>IFERROR(__xludf.DUMMYFUNCTION("""COMPUTED_VALUE"""),"Housing")</f>
        <v>Housing</v>
      </c>
      <c r="F568" s="33" t="str">
        <f>IFERROR(__xludf.DUMMYFUNCTION("""COMPUTED_VALUE"""),"Miscellaneous")</f>
        <v>Miscellaneous</v>
      </c>
      <c r="G568" s="33" t="str">
        <f>IFERROR(__xludf.DUMMYFUNCTION("""COMPUTED_VALUE"""),"Pet")</f>
        <v>Pet</v>
      </c>
      <c r="H568" s="33" t="str">
        <f>IFERROR(__xludf.DUMMYFUNCTION("""COMPUTED_VALUE"""),"Transportation")</f>
        <v>Transportation</v>
      </c>
      <c r="I568" s="33"/>
      <c r="J568" s="33"/>
      <c r="K568" s="33"/>
    </row>
    <row r="569">
      <c r="A569" s="33" t="str">
        <f>IFERROR(__xludf.DUMMYFUNCTION("""COMPUTED_VALUE"""),"Debt")</f>
        <v>Debt</v>
      </c>
      <c r="B569" s="33" t="str">
        <f>IFERROR(__xludf.DUMMYFUNCTION("""COMPUTED_VALUE"""),"Groceries")</f>
        <v>Groceries</v>
      </c>
      <c r="C569" s="33" t="str">
        <f>IFERROR(__xludf.DUMMYFUNCTION("""COMPUTED_VALUE"""),"Healthcare")</f>
        <v>Healthcare</v>
      </c>
      <c r="D569" s="33" t="str">
        <f>IFERROR(__xludf.DUMMYFUNCTION("""COMPUTED_VALUE"""),"Household Items")</f>
        <v>Household Items</v>
      </c>
      <c r="E569" s="33" t="str">
        <f>IFERROR(__xludf.DUMMYFUNCTION("""COMPUTED_VALUE"""),"Housing")</f>
        <v>Housing</v>
      </c>
      <c r="F569" s="33" t="str">
        <f>IFERROR(__xludf.DUMMYFUNCTION("""COMPUTED_VALUE"""),"Miscellaneous")</f>
        <v>Miscellaneous</v>
      </c>
      <c r="G569" s="33" t="str">
        <f>IFERROR(__xludf.DUMMYFUNCTION("""COMPUTED_VALUE"""),"Pet")</f>
        <v>Pet</v>
      </c>
      <c r="H569" s="33" t="str">
        <f>IFERROR(__xludf.DUMMYFUNCTION("""COMPUTED_VALUE"""),"Transportation")</f>
        <v>Transportation</v>
      </c>
      <c r="I569" s="33"/>
      <c r="J569" s="33"/>
      <c r="K569" s="33"/>
    </row>
    <row r="570">
      <c r="A570" s="33" t="str">
        <f>IFERROR(__xludf.DUMMYFUNCTION("""COMPUTED_VALUE"""),"Debt")</f>
        <v>Debt</v>
      </c>
      <c r="B570" s="33" t="str">
        <f>IFERROR(__xludf.DUMMYFUNCTION("""COMPUTED_VALUE"""),"Groceries")</f>
        <v>Groceries</v>
      </c>
      <c r="C570" s="33" t="str">
        <f>IFERROR(__xludf.DUMMYFUNCTION("""COMPUTED_VALUE"""),"Healthcare")</f>
        <v>Healthcare</v>
      </c>
      <c r="D570" s="33" t="str">
        <f>IFERROR(__xludf.DUMMYFUNCTION("""COMPUTED_VALUE"""),"Household Items")</f>
        <v>Household Items</v>
      </c>
      <c r="E570" s="33" t="str">
        <f>IFERROR(__xludf.DUMMYFUNCTION("""COMPUTED_VALUE"""),"Housing")</f>
        <v>Housing</v>
      </c>
      <c r="F570" s="33" t="str">
        <f>IFERROR(__xludf.DUMMYFUNCTION("""COMPUTED_VALUE"""),"Miscellaneous")</f>
        <v>Miscellaneous</v>
      </c>
      <c r="G570" s="33" t="str">
        <f>IFERROR(__xludf.DUMMYFUNCTION("""COMPUTED_VALUE"""),"Pet")</f>
        <v>Pet</v>
      </c>
      <c r="H570" s="33" t="str">
        <f>IFERROR(__xludf.DUMMYFUNCTION("""COMPUTED_VALUE"""),"Transportation")</f>
        <v>Transportation</v>
      </c>
      <c r="I570" s="33"/>
      <c r="J570" s="33"/>
      <c r="K570" s="33"/>
    </row>
    <row r="571">
      <c r="A571" s="33" t="str">
        <f>IFERROR(__xludf.DUMMYFUNCTION("""COMPUTED_VALUE"""),"Cashback")</f>
        <v>Cashback</v>
      </c>
      <c r="B571" s="33" t="str">
        <f>IFERROR(__xludf.DUMMYFUNCTION("""COMPUTED_VALUE"""),"Investment Returns")</f>
        <v>Investment Returns</v>
      </c>
      <c r="C571" s="33" t="str">
        <f>IFERROR(__xludf.DUMMYFUNCTION("""COMPUTED_VALUE"""),"Paycheck")</f>
        <v>Paycheck</v>
      </c>
      <c r="D571" s="33" t="str">
        <f>IFERROR(__xludf.DUMMYFUNCTION("""COMPUTED_VALUE"""),"Reimbursement")</f>
        <v>Reimbursement</v>
      </c>
      <c r="E571" s="33" t="str">
        <f>IFERROR(__xludf.DUMMYFUNCTION("""COMPUTED_VALUE"""),"Rewards")</f>
        <v>Rewards</v>
      </c>
      <c r="F571" s="33"/>
      <c r="G571" s="33"/>
      <c r="H571" s="33"/>
      <c r="I571" s="33"/>
      <c r="J571" s="33"/>
      <c r="K571" s="33"/>
    </row>
    <row r="572">
      <c r="A572" s="33" t="str">
        <f>IFERROR(__xludf.DUMMYFUNCTION("""COMPUTED_VALUE"""),"Cashback")</f>
        <v>Cashback</v>
      </c>
      <c r="B572" s="33" t="str">
        <f>IFERROR(__xludf.DUMMYFUNCTION("""COMPUTED_VALUE"""),"Investment Returns")</f>
        <v>Investment Returns</v>
      </c>
      <c r="C572" s="33" t="str">
        <f>IFERROR(__xludf.DUMMYFUNCTION("""COMPUTED_VALUE"""),"Paycheck")</f>
        <v>Paycheck</v>
      </c>
      <c r="D572" s="33" t="str">
        <f>IFERROR(__xludf.DUMMYFUNCTION("""COMPUTED_VALUE"""),"Reimbursement")</f>
        <v>Reimbursement</v>
      </c>
      <c r="E572" s="33" t="str">
        <f>IFERROR(__xludf.DUMMYFUNCTION("""COMPUTED_VALUE"""),"Rewards")</f>
        <v>Rewards</v>
      </c>
      <c r="F572" s="33"/>
      <c r="G572" s="33"/>
      <c r="H572" s="33"/>
      <c r="I572" s="33"/>
      <c r="J572" s="33"/>
      <c r="K572" s="33"/>
    </row>
    <row r="573">
      <c r="A573" s="33" t="str">
        <f>IFERROR(__xludf.DUMMYFUNCTION("""COMPUTED_VALUE"""),"Car Fund")</f>
        <v>Car Fund</v>
      </c>
      <c r="B573" s="33" t="str">
        <f>IFERROR(__xludf.DUMMYFUNCTION("""COMPUTED_VALUE"""),"Emergency Fund")</f>
        <v>Emergency Fund</v>
      </c>
      <c r="C573" s="33" t="str">
        <f>IFERROR(__xludf.DUMMYFUNCTION("""COMPUTED_VALUE"""),"Family Fund")</f>
        <v>Family Fund</v>
      </c>
      <c r="D573" s="33" t="str">
        <f>IFERROR(__xludf.DUMMYFUNCTION("""COMPUTED_VALUE"""),"Kenji Fund")</f>
        <v>Kenji Fund</v>
      </c>
      <c r="E573" s="33" t="str">
        <f>IFERROR(__xludf.DUMMYFUNCTION("""COMPUTED_VALUE"""),"Mei Fund")</f>
        <v>Mei Fund</v>
      </c>
      <c r="F573" s="33" t="str">
        <f>IFERROR(__xludf.DUMMYFUNCTION("""COMPUTED_VALUE"""),"Pet Fund")</f>
        <v>Pet Fund</v>
      </c>
      <c r="G573" s="33" t="str">
        <f>IFERROR(__xludf.DUMMYFUNCTION("""COMPUTED_VALUE"""),"Vacation Fund")</f>
        <v>Vacation Fund</v>
      </c>
      <c r="H573" s="33"/>
      <c r="I573" s="33"/>
      <c r="J573" s="33"/>
      <c r="K573" s="33"/>
    </row>
    <row r="574">
      <c r="A574" s="33" t="str">
        <f>IFERROR(__xludf.DUMMYFUNCTION("""COMPUTED_VALUE"""),"Deposit")</f>
        <v>Deposit</v>
      </c>
      <c r="B574" s="33" t="str">
        <f>IFERROR(__xludf.DUMMYFUNCTION("""COMPUTED_VALUE"""),"Withdrawal")</f>
        <v>Withdrawal</v>
      </c>
      <c r="C574" s="33"/>
      <c r="D574" s="33"/>
      <c r="E574" s="33"/>
      <c r="F574" s="33"/>
      <c r="G574" s="33"/>
      <c r="H574" s="33"/>
      <c r="I574" s="33"/>
      <c r="J574" s="33"/>
      <c r="K574" s="33"/>
    </row>
    <row r="575">
      <c r="A575" s="33" t="str">
        <f>IFERROR(__xludf.DUMMYFUNCTION("""COMPUTED_VALUE"""),"FHSA")</f>
        <v>FHSA</v>
      </c>
      <c r="B575" s="33" t="str">
        <f>IFERROR(__xludf.DUMMYFUNCTION("""COMPUTED_VALUE"""),"RRSP")</f>
        <v>RRSP</v>
      </c>
      <c r="C575" s="33" t="str">
        <f>IFERROR(__xludf.DUMMYFUNCTION("""COMPUTED_VALUE"""),"TFSA")</f>
        <v>TFSA</v>
      </c>
      <c r="D575" s="33"/>
      <c r="E575" s="33"/>
      <c r="F575" s="33"/>
      <c r="G575" s="33"/>
      <c r="H575" s="33"/>
      <c r="I575" s="33"/>
      <c r="J575" s="33"/>
      <c r="K575" s="33"/>
    </row>
    <row r="576">
      <c r="A576" s="33" t="str">
        <f>IFERROR(__xludf.DUMMYFUNCTION("""COMPUTED_VALUE"""),"Deposit")</f>
        <v>Deposit</v>
      </c>
      <c r="B576" s="33" t="str">
        <f>IFERROR(__xludf.DUMMYFUNCTION("""COMPUTED_VALUE"""),"Withdrawal")</f>
        <v>Withdrawal</v>
      </c>
      <c r="C576" s="33"/>
      <c r="D576" s="33"/>
      <c r="E576" s="33"/>
      <c r="F576" s="33"/>
      <c r="G576" s="33"/>
      <c r="H576" s="33"/>
      <c r="I576" s="33"/>
      <c r="J576" s="33"/>
      <c r="K576" s="33"/>
    </row>
    <row r="577">
      <c r="A577" s="33" t="str">
        <f>IFERROR(__xludf.DUMMYFUNCTION("""COMPUTED_VALUE"""),"FHSA")</f>
        <v>FHSA</v>
      </c>
      <c r="B577" s="33" t="str">
        <f>IFERROR(__xludf.DUMMYFUNCTION("""COMPUTED_VALUE"""),"RRSP")</f>
        <v>RRSP</v>
      </c>
      <c r="C577" s="33" t="str">
        <f>IFERROR(__xludf.DUMMYFUNCTION("""COMPUTED_VALUE"""),"TFSA")</f>
        <v>TFSA</v>
      </c>
      <c r="D577" s="33"/>
      <c r="E577" s="33"/>
      <c r="F577" s="33"/>
      <c r="G577" s="33"/>
      <c r="H577" s="33"/>
      <c r="I577" s="33"/>
      <c r="J577" s="33"/>
      <c r="K577" s="33"/>
    </row>
    <row r="578">
      <c r="A578" s="33" t="str">
        <f>IFERROR(__xludf.DUMMYFUNCTION("""COMPUTED_VALUE"""),"Deposit")</f>
        <v>Deposit</v>
      </c>
      <c r="B578" s="33" t="str">
        <f>IFERROR(__xludf.DUMMYFUNCTION("""COMPUTED_VALUE"""),"Withdrawal")</f>
        <v>Withdrawal</v>
      </c>
      <c r="C578" s="33"/>
      <c r="D578" s="33"/>
      <c r="E578" s="33"/>
      <c r="F578" s="33"/>
      <c r="G578" s="33"/>
      <c r="H578" s="33"/>
      <c r="I578" s="33"/>
      <c r="J578" s="33"/>
      <c r="K578" s="33"/>
    </row>
    <row r="579">
      <c r="A579" s="33" t="str">
        <f>IFERROR(__xludf.DUMMYFUNCTION("""COMPUTED_VALUE"""),"Deposit")</f>
        <v>Deposit</v>
      </c>
      <c r="B579" s="33" t="str">
        <f>IFERROR(__xludf.DUMMYFUNCTION("""COMPUTED_VALUE"""),"Withdrawal")</f>
        <v>Withdrawal</v>
      </c>
      <c r="C579" s="33"/>
      <c r="D579" s="33"/>
      <c r="E579" s="33"/>
      <c r="F579" s="33"/>
      <c r="G579" s="33"/>
      <c r="H579" s="33"/>
      <c r="I579" s="33"/>
      <c r="J579" s="33"/>
      <c r="K579" s="33"/>
    </row>
    <row r="580">
      <c r="A580" s="33" t="str">
        <f>IFERROR(__xludf.DUMMYFUNCTION("""COMPUTED_VALUE"""),"Deposit")</f>
        <v>Deposit</v>
      </c>
      <c r="B580" s="33" t="str">
        <f>IFERROR(__xludf.DUMMYFUNCTION("""COMPUTED_VALUE"""),"Withdrawal")</f>
        <v>Withdrawal</v>
      </c>
      <c r="C580" s="33"/>
      <c r="D580" s="33"/>
      <c r="E580" s="33"/>
      <c r="F580" s="33"/>
      <c r="G580" s="33"/>
      <c r="H580" s="33"/>
      <c r="I580" s="33"/>
      <c r="J580" s="33"/>
      <c r="K580" s="33"/>
    </row>
    <row r="581">
      <c r="A581" s="33" t="str">
        <f>IFERROR(__xludf.DUMMYFUNCTION("""COMPUTED_VALUE"""),"Dining Out")</f>
        <v>Dining Out</v>
      </c>
      <c r="B581" s="33" t="str">
        <f>IFERROR(__xludf.DUMMYFUNCTION("""COMPUTED_VALUE"""),"Entertainment")</f>
        <v>Entertainment</v>
      </c>
      <c r="C581" s="33" t="str">
        <f>IFERROR(__xludf.DUMMYFUNCTION("""COMPUTED_VALUE"""),"Gaming")</f>
        <v>Gaming</v>
      </c>
      <c r="D581" s="33" t="str">
        <f>IFERROR(__xludf.DUMMYFUNCTION("""COMPUTED_VALUE"""),"Gifts")</f>
        <v>Gifts</v>
      </c>
      <c r="E581" s="33" t="str">
        <f>IFERROR(__xludf.DUMMYFUNCTION("""COMPUTED_VALUE"""),"Groceries")</f>
        <v>Groceries</v>
      </c>
      <c r="F581" s="33" t="str">
        <f>IFERROR(__xludf.DUMMYFUNCTION("""COMPUTED_VALUE"""),"Healthcare")</f>
        <v>Healthcare</v>
      </c>
      <c r="G581" s="33" t="str">
        <f>IFERROR(__xludf.DUMMYFUNCTION("""COMPUTED_VALUE"""),"Hobbies")</f>
        <v>Hobbies</v>
      </c>
      <c r="H581" s="33" t="str">
        <f>IFERROR(__xludf.DUMMYFUNCTION("""COMPUTED_VALUE"""),"Household Items")</f>
        <v>Household Items</v>
      </c>
      <c r="I581" s="33" t="str">
        <f>IFERROR(__xludf.DUMMYFUNCTION("""COMPUTED_VALUE"""),"Subscriptions")</f>
        <v>Subscriptions</v>
      </c>
      <c r="J581" s="33" t="str">
        <f>IFERROR(__xludf.DUMMYFUNCTION("""COMPUTED_VALUE"""),"Transportation")</f>
        <v>Transportation</v>
      </c>
      <c r="K581" s="33" t="str">
        <f>IFERROR(__xludf.DUMMYFUNCTION("""COMPUTED_VALUE"""),"Travel")</f>
        <v>Travel</v>
      </c>
    </row>
    <row r="582">
      <c r="A582" s="33" t="str">
        <f>IFERROR(__xludf.DUMMYFUNCTION("""COMPUTED_VALUE"""),"Debt")</f>
        <v>Debt</v>
      </c>
      <c r="B582" s="33" t="str">
        <f>IFERROR(__xludf.DUMMYFUNCTION("""COMPUTED_VALUE"""),"Groceries")</f>
        <v>Groceries</v>
      </c>
      <c r="C582" s="33" t="str">
        <f>IFERROR(__xludf.DUMMYFUNCTION("""COMPUTED_VALUE"""),"Healthcare")</f>
        <v>Healthcare</v>
      </c>
      <c r="D582" s="33" t="str">
        <f>IFERROR(__xludf.DUMMYFUNCTION("""COMPUTED_VALUE"""),"Household Items")</f>
        <v>Household Items</v>
      </c>
      <c r="E582" s="33" t="str">
        <f>IFERROR(__xludf.DUMMYFUNCTION("""COMPUTED_VALUE"""),"Housing")</f>
        <v>Housing</v>
      </c>
      <c r="F582" s="33" t="str">
        <f>IFERROR(__xludf.DUMMYFUNCTION("""COMPUTED_VALUE"""),"Miscellaneous")</f>
        <v>Miscellaneous</v>
      </c>
      <c r="G582" s="33" t="str">
        <f>IFERROR(__xludf.DUMMYFUNCTION("""COMPUTED_VALUE"""),"Pet")</f>
        <v>Pet</v>
      </c>
      <c r="H582" s="33" t="str">
        <f>IFERROR(__xludf.DUMMYFUNCTION("""COMPUTED_VALUE"""),"Transportation")</f>
        <v>Transportation</v>
      </c>
      <c r="I582" s="33"/>
      <c r="J582" s="33"/>
      <c r="K582" s="33"/>
    </row>
    <row r="583">
      <c r="A583" s="33" t="str">
        <f>IFERROR(__xludf.DUMMYFUNCTION("""COMPUTED_VALUE"""),"Debt")</f>
        <v>Debt</v>
      </c>
      <c r="B583" s="33" t="str">
        <f>IFERROR(__xludf.DUMMYFUNCTION("""COMPUTED_VALUE"""),"Groceries")</f>
        <v>Groceries</v>
      </c>
      <c r="C583" s="33" t="str">
        <f>IFERROR(__xludf.DUMMYFUNCTION("""COMPUTED_VALUE"""),"Healthcare")</f>
        <v>Healthcare</v>
      </c>
      <c r="D583" s="33" t="str">
        <f>IFERROR(__xludf.DUMMYFUNCTION("""COMPUTED_VALUE"""),"Household Items")</f>
        <v>Household Items</v>
      </c>
      <c r="E583" s="33" t="str">
        <f>IFERROR(__xludf.DUMMYFUNCTION("""COMPUTED_VALUE"""),"Housing")</f>
        <v>Housing</v>
      </c>
      <c r="F583" s="33" t="str">
        <f>IFERROR(__xludf.DUMMYFUNCTION("""COMPUTED_VALUE"""),"Miscellaneous")</f>
        <v>Miscellaneous</v>
      </c>
      <c r="G583" s="33" t="str">
        <f>IFERROR(__xludf.DUMMYFUNCTION("""COMPUTED_VALUE"""),"Pet")</f>
        <v>Pet</v>
      </c>
      <c r="H583" s="33" t="str">
        <f>IFERROR(__xludf.DUMMYFUNCTION("""COMPUTED_VALUE"""),"Transportation")</f>
        <v>Transportation</v>
      </c>
      <c r="I583" s="33"/>
      <c r="J583" s="33"/>
      <c r="K583" s="33"/>
    </row>
    <row r="584">
      <c r="A584" s="33" t="str">
        <f>IFERROR(__xludf.DUMMYFUNCTION("""COMPUTED_VALUE"""),"Debt")</f>
        <v>Debt</v>
      </c>
      <c r="B584" s="33" t="str">
        <f>IFERROR(__xludf.DUMMYFUNCTION("""COMPUTED_VALUE"""),"Groceries")</f>
        <v>Groceries</v>
      </c>
      <c r="C584" s="33" t="str">
        <f>IFERROR(__xludf.DUMMYFUNCTION("""COMPUTED_VALUE"""),"Healthcare")</f>
        <v>Healthcare</v>
      </c>
      <c r="D584" s="33" t="str">
        <f>IFERROR(__xludf.DUMMYFUNCTION("""COMPUTED_VALUE"""),"Household Items")</f>
        <v>Household Items</v>
      </c>
      <c r="E584" s="33" t="str">
        <f>IFERROR(__xludf.DUMMYFUNCTION("""COMPUTED_VALUE"""),"Housing")</f>
        <v>Housing</v>
      </c>
      <c r="F584" s="33" t="str">
        <f>IFERROR(__xludf.DUMMYFUNCTION("""COMPUTED_VALUE"""),"Miscellaneous")</f>
        <v>Miscellaneous</v>
      </c>
      <c r="G584" s="33" t="str">
        <f>IFERROR(__xludf.DUMMYFUNCTION("""COMPUTED_VALUE"""),"Pet")</f>
        <v>Pet</v>
      </c>
      <c r="H584" s="33" t="str">
        <f>IFERROR(__xludf.DUMMYFUNCTION("""COMPUTED_VALUE"""),"Transportation")</f>
        <v>Transportation</v>
      </c>
      <c r="I584" s="33"/>
      <c r="J584" s="33"/>
      <c r="K584" s="33"/>
    </row>
    <row r="585">
      <c r="A585" s="33" t="str">
        <f>IFERROR(__xludf.DUMMYFUNCTION("""COMPUTED_VALUE"""),"Debt")</f>
        <v>Debt</v>
      </c>
      <c r="B585" s="33" t="str">
        <f>IFERROR(__xludf.DUMMYFUNCTION("""COMPUTED_VALUE"""),"Groceries")</f>
        <v>Groceries</v>
      </c>
      <c r="C585" s="33" t="str">
        <f>IFERROR(__xludf.DUMMYFUNCTION("""COMPUTED_VALUE"""),"Healthcare")</f>
        <v>Healthcare</v>
      </c>
      <c r="D585" s="33" t="str">
        <f>IFERROR(__xludf.DUMMYFUNCTION("""COMPUTED_VALUE"""),"Household Items")</f>
        <v>Household Items</v>
      </c>
      <c r="E585" s="33" t="str">
        <f>IFERROR(__xludf.DUMMYFUNCTION("""COMPUTED_VALUE"""),"Housing")</f>
        <v>Housing</v>
      </c>
      <c r="F585" s="33" t="str">
        <f>IFERROR(__xludf.DUMMYFUNCTION("""COMPUTED_VALUE"""),"Miscellaneous")</f>
        <v>Miscellaneous</v>
      </c>
      <c r="G585" s="33" t="str">
        <f>IFERROR(__xludf.DUMMYFUNCTION("""COMPUTED_VALUE"""),"Pet")</f>
        <v>Pet</v>
      </c>
      <c r="H585" s="33" t="str">
        <f>IFERROR(__xludf.DUMMYFUNCTION("""COMPUTED_VALUE"""),"Transportation")</f>
        <v>Transportation</v>
      </c>
      <c r="I585" s="33"/>
      <c r="J585" s="33"/>
      <c r="K585" s="33"/>
    </row>
    <row r="586">
      <c r="A586" s="33" t="str">
        <f>IFERROR(__xludf.DUMMYFUNCTION("""COMPUTED_VALUE"""),"Debt")</f>
        <v>Debt</v>
      </c>
      <c r="B586" s="33" t="str">
        <f>IFERROR(__xludf.DUMMYFUNCTION("""COMPUTED_VALUE"""),"Groceries")</f>
        <v>Groceries</v>
      </c>
      <c r="C586" s="33" t="str">
        <f>IFERROR(__xludf.DUMMYFUNCTION("""COMPUTED_VALUE"""),"Healthcare")</f>
        <v>Healthcare</v>
      </c>
      <c r="D586" s="33" t="str">
        <f>IFERROR(__xludf.DUMMYFUNCTION("""COMPUTED_VALUE"""),"Household Items")</f>
        <v>Household Items</v>
      </c>
      <c r="E586" s="33" t="str">
        <f>IFERROR(__xludf.DUMMYFUNCTION("""COMPUTED_VALUE"""),"Housing")</f>
        <v>Housing</v>
      </c>
      <c r="F586" s="33" t="str">
        <f>IFERROR(__xludf.DUMMYFUNCTION("""COMPUTED_VALUE"""),"Miscellaneous")</f>
        <v>Miscellaneous</v>
      </c>
      <c r="G586" s="33" t="str">
        <f>IFERROR(__xludf.DUMMYFUNCTION("""COMPUTED_VALUE"""),"Pet")</f>
        <v>Pet</v>
      </c>
      <c r="H586" s="33" t="str">
        <f>IFERROR(__xludf.DUMMYFUNCTION("""COMPUTED_VALUE"""),"Transportation")</f>
        <v>Transportation</v>
      </c>
      <c r="I586" s="33"/>
      <c r="J586" s="33"/>
      <c r="K586" s="33"/>
    </row>
    <row r="587">
      <c r="A587" s="33" t="str">
        <f>IFERROR(__xludf.DUMMYFUNCTION("""COMPUTED_VALUE"""),"Debt")</f>
        <v>Debt</v>
      </c>
      <c r="B587" s="33" t="str">
        <f>IFERROR(__xludf.DUMMYFUNCTION("""COMPUTED_VALUE"""),"Groceries")</f>
        <v>Groceries</v>
      </c>
      <c r="C587" s="33" t="str">
        <f>IFERROR(__xludf.DUMMYFUNCTION("""COMPUTED_VALUE"""),"Healthcare")</f>
        <v>Healthcare</v>
      </c>
      <c r="D587" s="33" t="str">
        <f>IFERROR(__xludf.DUMMYFUNCTION("""COMPUTED_VALUE"""),"Household Items")</f>
        <v>Household Items</v>
      </c>
      <c r="E587" s="33" t="str">
        <f>IFERROR(__xludf.DUMMYFUNCTION("""COMPUTED_VALUE"""),"Housing")</f>
        <v>Housing</v>
      </c>
      <c r="F587" s="33" t="str">
        <f>IFERROR(__xludf.DUMMYFUNCTION("""COMPUTED_VALUE"""),"Miscellaneous")</f>
        <v>Miscellaneous</v>
      </c>
      <c r="G587" s="33" t="str">
        <f>IFERROR(__xludf.DUMMYFUNCTION("""COMPUTED_VALUE"""),"Pet")</f>
        <v>Pet</v>
      </c>
      <c r="H587" s="33" t="str">
        <f>IFERROR(__xludf.DUMMYFUNCTION("""COMPUTED_VALUE"""),"Transportation")</f>
        <v>Transportation</v>
      </c>
      <c r="I587" s="33"/>
      <c r="J587" s="33"/>
      <c r="K587" s="33"/>
    </row>
    <row r="588">
      <c r="A588" s="33" t="str">
        <f>IFERROR(__xludf.DUMMYFUNCTION("""COMPUTED_VALUE"""),"Debt")</f>
        <v>Debt</v>
      </c>
      <c r="B588" s="33" t="str">
        <f>IFERROR(__xludf.DUMMYFUNCTION("""COMPUTED_VALUE"""),"Groceries")</f>
        <v>Groceries</v>
      </c>
      <c r="C588" s="33" t="str">
        <f>IFERROR(__xludf.DUMMYFUNCTION("""COMPUTED_VALUE"""),"Healthcare")</f>
        <v>Healthcare</v>
      </c>
      <c r="D588" s="33" t="str">
        <f>IFERROR(__xludf.DUMMYFUNCTION("""COMPUTED_VALUE"""),"Household Items")</f>
        <v>Household Items</v>
      </c>
      <c r="E588" s="33" t="str">
        <f>IFERROR(__xludf.DUMMYFUNCTION("""COMPUTED_VALUE"""),"Housing")</f>
        <v>Housing</v>
      </c>
      <c r="F588" s="33" t="str">
        <f>IFERROR(__xludf.DUMMYFUNCTION("""COMPUTED_VALUE"""),"Miscellaneous")</f>
        <v>Miscellaneous</v>
      </c>
      <c r="G588" s="33" t="str">
        <f>IFERROR(__xludf.DUMMYFUNCTION("""COMPUTED_VALUE"""),"Pet")</f>
        <v>Pet</v>
      </c>
      <c r="H588" s="33" t="str">
        <f>IFERROR(__xludf.DUMMYFUNCTION("""COMPUTED_VALUE"""),"Transportation")</f>
        <v>Transportation</v>
      </c>
      <c r="I588" s="33"/>
      <c r="J588" s="33"/>
      <c r="K588" s="33"/>
    </row>
    <row r="589">
      <c r="A589" s="33" t="str">
        <f>IFERROR(__xludf.DUMMYFUNCTION("""COMPUTED_VALUE"""),"Debt")</f>
        <v>Debt</v>
      </c>
      <c r="B589" s="33" t="str">
        <f>IFERROR(__xludf.DUMMYFUNCTION("""COMPUTED_VALUE"""),"Groceries")</f>
        <v>Groceries</v>
      </c>
      <c r="C589" s="33" t="str">
        <f>IFERROR(__xludf.DUMMYFUNCTION("""COMPUTED_VALUE"""),"Healthcare")</f>
        <v>Healthcare</v>
      </c>
      <c r="D589" s="33" t="str">
        <f>IFERROR(__xludf.DUMMYFUNCTION("""COMPUTED_VALUE"""),"Household Items")</f>
        <v>Household Items</v>
      </c>
      <c r="E589" s="33" t="str">
        <f>IFERROR(__xludf.DUMMYFUNCTION("""COMPUTED_VALUE"""),"Housing")</f>
        <v>Housing</v>
      </c>
      <c r="F589" s="33" t="str">
        <f>IFERROR(__xludf.DUMMYFUNCTION("""COMPUTED_VALUE"""),"Miscellaneous")</f>
        <v>Miscellaneous</v>
      </c>
      <c r="G589" s="33" t="str">
        <f>IFERROR(__xludf.DUMMYFUNCTION("""COMPUTED_VALUE"""),"Pet")</f>
        <v>Pet</v>
      </c>
      <c r="H589" s="33" t="str">
        <f>IFERROR(__xludf.DUMMYFUNCTION("""COMPUTED_VALUE"""),"Transportation")</f>
        <v>Transportation</v>
      </c>
      <c r="I589" s="33"/>
      <c r="J589" s="33"/>
      <c r="K589" s="33"/>
    </row>
    <row r="590">
      <c r="A590" s="33" t="str">
        <f>IFERROR(__xludf.DUMMYFUNCTION("""COMPUTED_VALUE"""),"Debt")</f>
        <v>Debt</v>
      </c>
      <c r="B590" s="33" t="str">
        <f>IFERROR(__xludf.DUMMYFUNCTION("""COMPUTED_VALUE"""),"Groceries")</f>
        <v>Groceries</v>
      </c>
      <c r="C590" s="33" t="str">
        <f>IFERROR(__xludf.DUMMYFUNCTION("""COMPUTED_VALUE"""),"Healthcare")</f>
        <v>Healthcare</v>
      </c>
      <c r="D590" s="33" t="str">
        <f>IFERROR(__xludf.DUMMYFUNCTION("""COMPUTED_VALUE"""),"Household Items")</f>
        <v>Household Items</v>
      </c>
      <c r="E590" s="33" t="str">
        <f>IFERROR(__xludf.DUMMYFUNCTION("""COMPUTED_VALUE"""),"Housing")</f>
        <v>Housing</v>
      </c>
      <c r="F590" s="33" t="str">
        <f>IFERROR(__xludf.DUMMYFUNCTION("""COMPUTED_VALUE"""),"Miscellaneous")</f>
        <v>Miscellaneous</v>
      </c>
      <c r="G590" s="33" t="str">
        <f>IFERROR(__xludf.DUMMYFUNCTION("""COMPUTED_VALUE"""),"Pet")</f>
        <v>Pet</v>
      </c>
      <c r="H590" s="33" t="str">
        <f>IFERROR(__xludf.DUMMYFUNCTION("""COMPUTED_VALUE"""),"Transportation")</f>
        <v>Transportation</v>
      </c>
      <c r="I590" s="33"/>
      <c r="J590" s="33"/>
      <c r="K590" s="33"/>
    </row>
    <row r="591">
      <c r="A591" s="33" t="str">
        <f>IFERROR(__xludf.DUMMYFUNCTION("""COMPUTED_VALUE"""),"Debt")</f>
        <v>Debt</v>
      </c>
      <c r="B591" s="33" t="str">
        <f>IFERROR(__xludf.DUMMYFUNCTION("""COMPUTED_VALUE"""),"Groceries")</f>
        <v>Groceries</v>
      </c>
      <c r="C591" s="33" t="str">
        <f>IFERROR(__xludf.DUMMYFUNCTION("""COMPUTED_VALUE"""),"Healthcare")</f>
        <v>Healthcare</v>
      </c>
      <c r="D591" s="33" t="str">
        <f>IFERROR(__xludf.DUMMYFUNCTION("""COMPUTED_VALUE"""),"Household Items")</f>
        <v>Household Items</v>
      </c>
      <c r="E591" s="33" t="str">
        <f>IFERROR(__xludf.DUMMYFUNCTION("""COMPUTED_VALUE"""),"Housing")</f>
        <v>Housing</v>
      </c>
      <c r="F591" s="33" t="str">
        <f>IFERROR(__xludf.DUMMYFUNCTION("""COMPUTED_VALUE"""),"Miscellaneous")</f>
        <v>Miscellaneous</v>
      </c>
      <c r="G591" s="33" t="str">
        <f>IFERROR(__xludf.DUMMYFUNCTION("""COMPUTED_VALUE"""),"Pet")</f>
        <v>Pet</v>
      </c>
      <c r="H591" s="33" t="str">
        <f>IFERROR(__xludf.DUMMYFUNCTION("""COMPUTED_VALUE"""),"Transportation")</f>
        <v>Transportation</v>
      </c>
      <c r="I591" s="33"/>
      <c r="J591" s="33"/>
      <c r="K591" s="33"/>
    </row>
    <row r="592">
      <c r="A592" s="33" t="str">
        <f>IFERROR(__xludf.DUMMYFUNCTION("""COMPUTED_VALUE"""),"Cashback")</f>
        <v>Cashback</v>
      </c>
      <c r="B592" s="33" t="str">
        <f>IFERROR(__xludf.DUMMYFUNCTION("""COMPUTED_VALUE"""),"Investment Returns")</f>
        <v>Investment Returns</v>
      </c>
      <c r="C592" s="33" t="str">
        <f>IFERROR(__xludf.DUMMYFUNCTION("""COMPUTED_VALUE"""),"Paycheck")</f>
        <v>Paycheck</v>
      </c>
      <c r="D592" s="33" t="str">
        <f>IFERROR(__xludf.DUMMYFUNCTION("""COMPUTED_VALUE"""),"Reimbursement")</f>
        <v>Reimbursement</v>
      </c>
      <c r="E592" s="33" t="str">
        <f>IFERROR(__xludf.DUMMYFUNCTION("""COMPUTED_VALUE"""),"Rewards")</f>
        <v>Rewards</v>
      </c>
      <c r="F592" s="33"/>
      <c r="G592" s="33"/>
      <c r="H592" s="33"/>
      <c r="I592" s="33"/>
      <c r="J592" s="33"/>
      <c r="K592" s="33"/>
    </row>
    <row r="593">
      <c r="A593" s="33" t="str">
        <f>IFERROR(__xludf.DUMMYFUNCTION("""COMPUTED_VALUE"""),"Deposit")</f>
        <v>Deposit</v>
      </c>
      <c r="B593" s="33" t="str">
        <f>IFERROR(__xludf.DUMMYFUNCTION("""COMPUTED_VALUE"""),"Withdrawal")</f>
        <v>Withdrawal</v>
      </c>
      <c r="C593" s="33"/>
      <c r="D593" s="33"/>
      <c r="E593" s="33"/>
      <c r="F593" s="33"/>
      <c r="G593" s="33"/>
      <c r="H593" s="33"/>
      <c r="I593" s="33"/>
      <c r="J593" s="33"/>
      <c r="K593" s="33"/>
    </row>
    <row r="594">
      <c r="A594" s="33" t="str">
        <f>IFERROR(__xludf.DUMMYFUNCTION("""COMPUTED_VALUE"""),"Deposit")</f>
        <v>Deposit</v>
      </c>
      <c r="B594" s="33" t="str">
        <f>IFERROR(__xludf.DUMMYFUNCTION("""COMPUTED_VALUE"""),"Withdrawal")</f>
        <v>Withdrawal</v>
      </c>
      <c r="C594" s="33"/>
      <c r="D594" s="33"/>
      <c r="E594" s="33"/>
      <c r="F594" s="33"/>
      <c r="G594" s="33"/>
      <c r="H594" s="33"/>
      <c r="I594" s="33"/>
      <c r="J594" s="33"/>
      <c r="K594" s="33"/>
    </row>
    <row r="595">
      <c r="A595" s="33" t="str">
        <f>IFERROR(__xludf.DUMMYFUNCTION("""COMPUTED_VALUE"""),"Dining Out")</f>
        <v>Dining Out</v>
      </c>
      <c r="B595" s="33" t="str">
        <f>IFERROR(__xludf.DUMMYFUNCTION("""COMPUTED_VALUE"""),"Entertainment")</f>
        <v>Entertainment</v>
      </c>
      <c r="C595" s="33" t="str">
        <f>IFERROR(__xludf.DUMMYFUNCTION("""COMPUTED_VALUE"""),"Gaming")</f>
        <v>Gaming</v>
      </c>
      <c r="D595" s="33" t="str">
        <f>IFERROR(__xludf.DUMMYFUNCTION("""COMPUTED_VALUE"""),"Gifts")</f>
        <v>Gifts</v>
      </c>
      <c r="E595" s="33" t="str">
        <f>IFERROR(__xludf.DUMMYFUNCTION("""COMPUTED_VALUE"""),"Groceries")</f>
        <v>Groceries</v>
      </c>
      <c r="F595" s="33" t="str">
        <f>IFERROR(__xludf.DUMMYFUNCTION("""COMPUTED_VALUE"""),"Healthcare")</f>
        <v>Healthcare</v>
      </c>
      <c r="G595" s="33" t="str">
        <f>IFERROR(__xludf.DUMMYFUNCTION("""COMPUTED_VALUE"""),"Hobbies")</f>
        <v>Hobbies</v>
      </c>
      <c r="H595" s="33" t="str">
        <f>IFERROR(__xludf.DUMMYFUNCTION("""COMPUTED_VALUE"""),"Household Items")</f>
        <v>Household Items</v>
      </c>
      <c r="I595" s="33" t="str">
        <f>IFERROR(__xludf.DUMMYFUNCTION("""COMPUTED_VALUE"""),"Subscriptions")</f>
        <v>Subscriptions</v>
      </c>
      <c r="J595" s="33" t="str">
        <f>IFERROR(__xludf.DUMMYFUNCTION("""COMPUTED_VALUE"""),"Transportation")</f>
        <v>Transportation</v>
      </c>
      <c r="K595" s="33" t="str">
        <f>IFERROR(__xludf.DUMMYFUNCTION("""COMPUTED_VALUE"""),"Travel")</f>
        <v>Travel</v>
      </c>
    </row>
    <row r="596">
      <c r="A596" s="33" t="str">
        <f>IFERROR(__xludf.DUMMYFUNCTION("""COMPUTED_VALUE"""),"Dining Out")</f>
        <v>Dining Out</v>
      </c>
      <c r="B596" s="33" t="str">
        <f>IFERROR(__xludf.DUMMYFUNCTION("""COMPUTED_VALUE"""),"Entertainment")</f>
        <v>Entertainment</v>
      </c>
      <c r="C596" s="33" t="str">
        <f>IFERROR(__xludf.DUMMYFUNCTION("""COMPUTED_VALUE"""),"Gaming")</f>
        <v>Gaming</v>
      </c>
      <c r="D596" s="33" t="str">
        <f>IFERROR(__xludf.DUMMYFUNCTION("""COMPUTED_VALUE"""),"Gifts")</f>
        <v>Gifts</v>
      </c>
      <c r="E596" s="33" t="str">
        <f>IFERROR(__xludf.DUMMYFUNCTION("""COMPUTED_VALUE"""),"Groceries")</f>
        <v>Groceries</v>
      </c>
      <c r="F596" s="33" t="str">
        <f>IFERROR(__xludf.DUMMYFUNCTION("""COMPUTED_VALUE"""),"Healthcare")</f>
        <v>Healthcare</v>
      </c>
      <c r="G596" s="33" t="str">
        <f>IFERROR(__xludf.DUMMYFUNCTION("""COMPUTED_VALUE"""),"Hobbies")</f>
        <v>Hobbies</v>
      </c>
      <c r="H596" s="33" t="str">
        <f>IFERROR(__xludf.DUMMYFUNCTION("""COMPUTED_VALUE"""),"Household Items")</f>
        <v>Household Items</v>
      </c>
      <c r="I596" s="33" t="str">
        <f>IFERROR(__xludf.DUMMYFUNCTION("""COMPUTED_VALUE"""),"Subscriptions")</f>
        <v>Subscriptions</v>
      </c>
      <c r="J596" s="33" t="str">
        <f>IFERROR(__xludf.DUMMYFUNCTION("""COMPUTED_VALUE"""),"Transportation")</f>
        <v>Transportation</v>
      </c>
      <c r="K596" s="33" t="str">
        <f>IFERROR(__xludf.DUMMYFUNCTION("""COMPUTED_VALUE"""),"Travel")</f>
        <v>Travel</v>
      </c>
    </row>
    <row r="597">
      <c r="A597" s="33" t="str">
        <f>IFERROR(__xludf.DUMMYFUNCTION("""COMPUTED_VALUE"""),"Boarding")</f>
        <v>Boarding</v>
      </c>
      <c r="B597" s="33" t="str">
        <f>IFERROR(__xludf.DUMMYFUNCTION("""COMPUTED_VALUE"""),"Clothing")</f>
        <v>Clothing</v>
      </c>
      <c r="C597" s="33" t="str">
        <f>IFERROR(__xludf.DUMMYFUNCTION("""COMPUTED_VALUE"""),"Daycare")</f>
        <v>Daycare</v>
      </c>
      <c r="D597" s="33" t="str">
        <f>IFERROR(__xludf.DUMMYFUNCTION("""COMPUTED_VALUE"""),"Grooming")</f>
        <v>Grooming</v>
      </c>
      <c r="E597" s="33" t="str">
        <f>IFERROR(__xludf.DUMMYFUNCTION("""COMPUTED_VALUE"""),"Toys")</f>
        <v>Toys</v>
      </c>
      <c r="F597" s="33" t="str">
        <f>IFERROR(__xludf.DUMMYFUNCTION("""COMPUTED_VALUE"""),"Treats")</f>
        <v>Treats</v>
      </c>
      <c r="G597" s="33"/>
      <c r="H597" s="33"/>
      <c r="I597" s="33"/>
      <c r="J597" s="33"/>
      <c r="K597" s="33"/>
    </row>
    <row r="598">
      <c r="A598" s="33" t="str">
        <f>IFERROR(__xludf.DUMMYFUNCTION("""COMPUTED_VALUE"""),"Debt")</f>
        <v>Debt</v>
      </c>
      <c r="B598" s="33" t="str">
        <f>IFERROR(__xludf.DUMMYFUNCTION("""COMPUTED_VALUE"""),"Groceries")</f>
        <v>Groceries</v>
      </c>
      <c r="C598" s="33" t="str">
        <f>IFERROR(__xludf.DUMMYFUNCTION("""COMPUTED_VALUE"""),"Healthcare")</f>
        <v>Healthcare</v>
      </c>
      <c r="D598" s="33" t="str">
        <f>IFERROR(__xludf.DUMMYFUNCTION("""COMPUTED_VALUE"""),"Household Items")</f>
        <v>Household Items</v>
      </c>
      <c r="E598" s="33" t="str">
        <f>IFERROR(__xludf.DUMMYFUNCTION("""COMPUTED_VALUE"""),"Housing")</f>
        <v>Housing</v>
      </c>
      <c r="F598" s="33" t="str">
        <f>IFERROR(__xludf.DUMMYFUNCTION("""COMPUTED_VALUE"""),"Miscellaneous")</f>
        <v>Miscellaneous</v>
      </c>
      <c r="G598" s="33" t="str">
        <f>IFERROR(__xludf.DUMMYFUNCTION("""COMPUTED_VALUE"""),"Pet")</f>
        <v>Pet</v>
      </c>
      <c r="H598" s="33" t="str">
        <f>IFERROR(__xludf.DUMMYFUNCTION("""COMPUTED_VALUE"""),"Transportation")</f>
        <v>Transportation</v>
      </c>
      <c r="I598" s="33"/>
      <c r="J598" s="33"/>
      <c r="K598" s="33"/>
    </row>
    <row r="599">
      <c r="A599" s="33" t="str">
        <f>IFERROR(__xludf.DUMMYFUNCTION("""COMPUTED_VALUE"""),"Debt")</f>
        <v>Debt</v>
      </c>
      <c r="B599" s="33" t="str">
        <f>IFERROR(__xludf.DUMMYFUNCTION("""COMPUTED_VALUE"""),"Groceries")</f>
        <v>Groceries</v>
      </c>
      <c r="C599" s="33" t="str">
        <f>IFERROR(__xludf.DUMMYFUNCTION("""COMPUTED_VALUE"""),"Healthcare")</f>
        <v>Healthcare</v>
      </c>
      <c r="D599" s="33" t="str">
        <f>IFERROR(__xludf.DUMMYFUNCTION("""COMPUTED_VALUE"""),"Household Items")</f>
        <v>Household Items</v>
      </c>
      <c r="E599" s="33" t="str">
        <f>IFERROR(__xludf.DUMMYFUNCTION("""COMPUTED_VALUE"""),"Housing")</f>
        <v>Housing</v>
      </c>
      <c r="F599" s="33" t="str">
        <f>IFERROR(__xludf.DUMMYFUNCTION("""COMPUTED_VALUE"""),"Miscellaneous")</f>
        <v>Miscellaneous</v>
      </c>
      <c r="G599" s="33" t="str">
        <f>IFERROR(__xludf.DUMMYFUNCTION("""COMPUTED_VALUE"""),"Pet")</f>
        <v>Pet</v>
      </c>
      <c r="H599" s="33" t="str">
        <f>IFERROR(__xludf.DUMMYFUNCTION("""COMPUTED_VALUE"""),"Transportation")</f>
        <v>Transportation</v>
      </c>
      <c r="I599" s="33"/>
      <c r="J599" s="33"/>
      <c r="K599" s="33"/>
    </row>
    <row r="600">
      <c r="A600" s="33" t="str">
        <f>IFERROR(__xludf.DUMMYFUNCTION("""COMPUTED_VALUE"""),"Debt")</f>
        <v>Debt</v>
      </c>
      <c r="B600" s="33" t="str">
        <f>IFERROR(__xludf.DUMMYFUNCTION("""COMPUTED_VALUE"""),"Groceries")</f>
        <v>Groceries</v>
      </c>
      <c r="C600" s="33" t="str">
        <f>IFERROR(__xludf.DUMMYFUNCTION("""COMPUTED_VALUE"""),"Healthcare")</f>
        <v>Healthcare</v>
      </c>
      <c r="D600" s="33" t="str">
        <f>IFERROR(__xludf.DUMMYFUNCTION("""COMPUTED_VALUE"""),"Household Items")</f>
        <v>Household Items</v>
      </c>
      <c r="E600" s="33" t="str">
        <f>IFERROR(__xludf.DUMMYFUNCTION("""COMPUTED_VALUE"""),"Housing")</f>
        <v>Housing</v>
      </c>
      <c r="F600" s="33" t="str">
        <f>IFERROR(__xludf.DUMMYFUNCTION("""COMPUTED_VALUE"""),"Miscellaneous")</f>
        <v>Miscellaneous</v>
      </c>
      <c r="G600" s="33" t="str">
        <f>IFERROR(__xludf.DUMMYFUNCTION("""COMPUTED_VALUE"""),"Pet")</f>
        <v>Pet</v>
      </c>
      <c r="H600" s="33" t="str">
        <f>IFERROR(__xludf.DUMMYFUNCTION("""COMPUTED_VALUE"""),"Transportation")</f>
        <v>Transportation</v>
      </c>
      <c r="I600" s="33"/>
      <c r="J600" s="33"/>
      <c r="K600" s="33"/>
    </row>
    <row r="601">
      <c r="A601" s="33" t="str">
        <f>IFERROR(__xludf.DUMMYFUNCTION("""COMPUTED_VALUE"""),"Clothing")</f>
        <v>Clothing</v>
      </c>
      <c r="B601" s="33" t="str">
        <f>IFERROR(__xludf.DUMMYFUNCTION("""COMPUTED_VALUE"""),"Gaming")</f>
        <v>Gaming</v>
      </c>
      <c r="C601" s="33" t="str">
        <f>IFERROR(__xludf.DUMMYFUNCTION("""COMPUTED_VALUE"""),"Gifts")</f>
        <v>Gifts</v>
      </c>
      <c r="D601" s="33" t="str">
        <f>IFERROR(__xludf.DUMMYFUNCTION("""COMPUTED_VALUE"""),"Healthcare")</f>
        <v>Healthcare</v>
      </c>
      <c r="E601" s="33" t="str">
        <f>IFERROR(__xludf.DUMMYFUNCTION("""COMPUTED_VALUE"""),"Hobbies")</f>
        <v>Hobbies</v>
      </c>
      <c r="F601" s="33" t="str">
        <f>IFERROR(__xludf.DUMMYFUNCTION("""COMPUTED_VALUE"""),"Subscriptions")</f>
        <v>Subscriptions</v>
      </c>
      <c r="G601" s="33"/>
      <c r="H601" s="33"/>
      <c r="I601" s="33"/>
      <c r="J601" s="33"/>
      <c r="K601" s="33"/>
    </row>
    <row r="602">
      <c r="A602" s="33" t="str">
        <f>IFERROR(__xludf.DUMMYFUNCTION("""COMPUTED_VALUE"""),"Debt")</f>
        <v>Debt</v>
      </c>
      <c r="B602" s="33" t="str">
        <f>IFERROR(__xludf.DUMMYFUNCTION("""COMPUTED_VALUE"""),"Groceries")</f>
        <v>Groceries</v>
      </c>
      <c r="C602" s="33" t="str">
        <f>IFERROR(__xludf.DUMMYFUNCTION("""COMPUTED_VALUE"""),"Healthcare")</f>
        <v>Healthcare</v>
      </c>
      <c r="D602" s="33" t="str">
        <f>IFERROR(__xludf.DUMMYFUNCTION("""COMPUTED_VALUE"""),"Household Items")</f>
        <v>Household Items</v>
      </c>
      <c r="E602" s="33" t="str">
        <f>IFERROR(__xludf.DUMMYFUNCTION("""COMPUTED_VALUE"""),"Housing")</f>
        <v>Housing</v>
      </c>
      <c r="F602" s="33" t="str">
        <f>IFERROR(__xludf.DUMMYFUNCTION("""COMPUTED_VALUE"""),"Miscellaneous")</f>
        <v>Miscellaneous</v>
      </c>
      <c r="G602" s="33" t="str">
        <f>IFERROR(__xludf.DUMMYFUNCTION("""COMPUTED_VALUE"""),"Pet")</f>
        <v>Pet</v>
      </c>
      <c r="H602" s="33" t="str">
        <f>IFERROR(__xludf.DUMMYFUNCTION("""COMPUTED_VALUE"""),"Transportation")</f>
        <v>Transportation</v>
      </c>
      <c r="I602" s="33"/>
      <c r="J602" s="33"/>
      <c r="K602" s="33"/>
    </row>
    <row r="603">
      <c r="A603" s="33" t="str">
        <f>IFERROR(__xludf.DUMMYFUNCTION("""COMPUTED_VALUE"""),"Debt")</f>
        <v>Debt</v>
      </c>
      <c r="B603" s="33" t="str">
        <f>IFERROR(__xludf.DUMMYFUNCTION("""COMPUTED_VALUE"""),"Groceries")</f>
        <v>Groceries</v>
      </c>
      <c r="C603" s="33" t="str">
        <f>IFERROR(__xludf.DUMMYFUNCTION("""COMPUTED_VALUE"""),"Healthcare")</f>
        <v>Healthcare</v>
      </c>
      <c r="D603" s="33" t="str">
        <f>IFERROR(__xludf.DUMMYFUNCTION("""COMPUTED_VALUE"""),"Household Items")</f>
        <v>Household Items</v>
      </c>
      <c r="E603" s="33" t="str">
        <f>IFERROR(__xludf.DUMMYFUNCTION("""COMPUTED_VALUE"""),"Housing")</f>
        <v>Housing</v>
      </c>
      <c r="F603" s="33" t="str">
        <f>IFERROR(__xludf.DUMMYFUNCTION("""COMPUTED_VALUE"""),"Miscellaneous")</f>
        <v>Miscellaneous</v>
      </c>
      <c r="G603" s="33" t="str">
        <f>IFERROR(__xludf.DUMMYFUNCTION("""COMPUTED_VALUE"""),"Pet")</f>
        <v>Pet</v>
      </c>
      <c r="H603" s="33" t="str">
        <f>IFERROR(__xludf.DUMMYFUNCTION("""COMPUTED_VALUE"""),"Transportation")</f>
        <v>Transportation</v>
      </c>
      <c r="I603" s="33"/>
      <c r="J603" s="33"/>
      <c r="K603" s="33"/>
    </row>
    <row r="604">
      <c r="A604" s="33" t="str">
        <f>IFERROR(__xludf.DUMMYFUNCTION("""COMPUTED_VALUE"""),"Debt")</f>
        <v>Debt</v>
      </c>
      <c r="B604" s="33" t="str">
        <f>IFERROR(__xludf.DUMMYFUNCTION("""COMPUTED_VALUE"""),"Groceries")</f>
        <v>Groceries</v>
      </c>
      <c r="C604" s="33" t="str">
        <f>IFERROR(__xludf.DUMMYFUNCTION("""COMPUTED_VALUE"""),"Healthcare")</f>
        <v>Healthcare</v>
      </c>
      <c r="D604" s="33" t="str">
        <f>IFERROR(__xludf.DUMMYFUNCTION("""COMPUTED_VALUE"""),"Household Items")</f>
        <v>Household Items</v>
      </c>
      <c r="E604" s="33" t="str">
        <f>IFERROR(__xludf.DUMMYFUNCTION("""COMPUTED_VALUE"""),"Housing")</f>
        <v>Housing</v>
      </c>
      <c r="F604" s="33" t="str">
        <f>IFERROR(__xludf.DUMMYFUNCTION("""COMPUTED_VALUE"""),"Miscellaneous")</f>
        <v>Miscellaneous</v>
      </c>
      <c r="G604" s="33" t="str">
        <f>IFERROR(__xludf.DUMMYFUNCTION("""COMPUTED_VALUE"""),"Pet")</f>
        <v>Pet</v>
      </c>
      <c r="H604" s="33" t="str">
        <f>IFERROR(__xludf.DUMMYFUNCTION("""COMPUTED_VALUE"""),"Transportation")</f>
        <v>Transportation</v>
      </c>
      <c r="I604" s="33"/>
      <c r="J604" s="33"/>
      <c r="K604" s="33"/>
    </row>
    <row r="605">
      <c r="A605" s="33" t="str">
        <f>IFERROR(__xludf.DUMMYFUNCTION("""COMPUTED_VALUE"""),"Debt")</f>
        <v>Debt</v>
      </c>
      <c r="B605" s="33" t="str">
        <f>IFERROR(__xludf.DUMMYFUNCTION("""COMPUTED_VALUE"""),"Groceries")</f>
        <v>Groceries</v>
      </c>
      <c r="C605" s="33" t="str">
        <f>IFERROR(__xludf.DUMMYFUNCTION("""COMPUTED_VALUE"""),"Healthcare")</f>
        <v>Healthcare</v>
      </c>
      <c r="D605" s="33" t="str">
        <f>IFERROR(__xludf.DUMMYFUNCTION("""COMPUTED_VALUE"""),"Household Items")</f>
        <v>Household Items</v>
      </c>
      <c r="E605" s="33" t="str">
        <f>IFERROR(__xludf.DUMMYFUNCTION("""COMPUTED_VALUE"""),"Housing")</f>
        <v>Housing</v>
      </c>
      <c r="F605" s="33" t="str">
        <f>IFERROR(__xludf.DUMMYFUNCTION("""COMPUTED_VALUE"""),"Miscellaneous")</f>
        <v>Miscellaneous</v>
      </c>
      <c r="G605" s="33" t="str">
        <f>IFERROR(__xludf.DUMMYFUNCTION("""COMPUTED_VALUE"""),"Pet")</f>
        <v>Pet</v>
      </c>
      <c r="H605" s="33" t="str">
        <f>IFERROR(__xludf.DUMMYFUNCTION("""COMPUTED_VALUE"""),"Transportation")</f>
        <v>Transportation</v>
      </c>
      <c r="I605" s="33"/>
      <c r="J605" s="33"/>
      <c r="K605" s="33"/>
    </row>
    <row r="606">
      <c r="A606" s="33" t="str">
        <f>IFERROR(__xludf.DUMMYFUNCTION("""COMPUTED_VALUE"""),"Debt")</f>
        <v>Debt</v>
      </c>
      <c r="B606" s="33" t="str">
        <f>IFERROR(__xludf.DUMMYFUNCTION("""COMPUTED_VALUE"""),"Groceries")</f>
        <v>Groceries</v>
      </c>
      <c r="C606" s="33" t="str">
        <f>IFERROR(__xludf.DUMMYFUNCTION("""COMPUTED_VALUE"""),"Healthcare")</f>
        <v>Healthcare</v>
      </c>
      <c r="D606" s="33" t="str">
        <f>IFERROR(__xludf.DUMMYFUNCTION("""COMPUTED_VALUE"""),"Household Items")</f>
        <v>Household Items</v>
      </c>
      <c r="E606" s="33" t="str">
        <f>IFERROR(__xludf.DUMMYFUNCTION("""COMPUTED_VALUE"""),"Housing")</f>
        <v>Housing</v>
      </c>
      <c r="F606" s="33" t="str">
        <f>IFERROR(__xludf.DUMMYFUNCTION("""COMPUTED_VALUE"""),"Miscellaneous")</f>
        <v>Miscellaneous</v>
      </c>
      <c r="G606" s="33" t="str">
        <f>IFERROR(__xludf.DUMMYFUNCTION("""COMPUTED_VALUE"""),"Pet")</f>
        <v>Pet</v>
      </c>
      <c r="H606" s="33" t="str">
        <f>IFERROR(__xludf.DUMMYFUNCTION("""COMPUTED_VALUE"""),"Transportation")</f>
        <v>Transportation</v>
      </c>
      <c r="I606" s="33"/>
      <c r="J606" s="33"/>
      <c r="K606" s="33"/>
    </row>
    <row r="607">
      <c r="A607" s="33" t="str">
        <f>IFERROR(__xludf.DUMMYFUNCTION("""COMPUTED_VALUE"""),"Debt")</f>
        <v>Debt</v>
      </c>
      <c r="B607" s="33" t="str">
        <f>IFERROR(__xludf.DUMMYFUNCTION("""COMPUTED_VALUE"""),"Groceries")</f>
        <v>Groceries</v>
      </c>
      <c r="C607" s="33" t="str">
        <f>IFERROR(__xludf.DUMMYFUNCTION("""COMPUTED_VALUE"""),"Healthcare")</f>
        <v>Healthcare</v>
      </c>
      <c r="D607" s="33" t="str">
        <f>IFERROR(__xludf.DUMMYFUNCTION("""COMPUTED_VALUE"""),"Household Items")</f>
        <v>Household Items</v>
      </c>
      <c r="E607" s="33" t="str">
        <f>IFERROR(__xludf.DUMMYFUNCTION("""COMPUTED_VALUE"""),"Housing")</f>
        <v>Housing</v>
      </c>
      <c r="F607" s="33" t="str">
        <f>IFERROR(__xludf.DUMMYFUNCTION("""COMPUTED_VALUE"""),"Miscellaneous")</f>
        <v>Miscellaneous</v>
      </c>
      <c r="G607" s="33" t="str">
        <f>IFERROR(__xludf.DUMMYFUNCTION("""COMPUTED_VALUE"""),"Pet")</f>
        <v>Pet</v>
      </c>
      <c r="H607" s="33" t="str">
        <f>IFERROR(__xludf.DUMMYFUNCTION("""COMPUTED_VALUE"""),"Transportation")</f>
        <v>Transportation</v>
      </c>
      <c r="I607" s="33"/>
      <c r="J607" s="33"/>
      <c r="K607" s="33"/>
    </row>
    <row r="608">
      <c r="A608" s="33" t="str">
        <f>IFERROR(__xludf.DUMMYFUNCTION("""COMPUTED_VALUE"""),"Debt")</f>
        <v>Debt</v>
      </c>
      <c r="B608" s="33" t="str">
        <f>IFERROR(__xludf.DUMMYFUNCTION("""COMPUTED_VALUE"""),"Groceries")</f>
        <v>Groceries</v>
      </c>
      <c r="C608" s="33" t="str">
        <f>IFERROR(__xludf.DUMMYFUNCTION("""COMPUTED_VALUE"""),"Healthcare")</f>
        <v>Healthcare</v>
      </c>
      <c r="D608" s="33" t="str">
        <f>IFERROR(__xludf.DUMMYFUNCTION("""COMPUTED_VALUE"""),"Household Items")</f>
        <v>Household Items</v>
      </c>
      <c r="E608" s="33" t="str">
        <f>IFERROR(__xludf.DUMMYFUNCTION("""COMPUTED_VALUE"""),"Housing")</f>
        <v>Housing</v>
      </c>
      <c r="F608" s="33" t="str">
        <f>IFERROR(__xludf.DUMMYFUNCTION("""COMPUTED_VALUE"""),"Miscellaneous")</f>
        <v>Miscellaneous</v>
      </c>
      <c r="G608" s="33" t="str">
        <f>IFERROR(__xludf.DUMMYFUNCTION("""COMPUTED_VALUE"""),"Pet")</f>
        <v>Pet</v>
      </c>
      <c r="H608" s="33" t="str">
        <f>IFERROR(__xludf.DUMMYFUNCTION("""COMPUTED_VALUE"""),"Transportation")</f>
        <v>Transportation</v>
      </c>
      <c r="I608" s="33"/>
      <c r="J608" s="33"/>
      <c r="K608" s="33"/>
    </row>
    <row r="609">
      <c r="A609" s="33" t="str">
        <f>IFERROR(__xludf.DUMMYFUNCTION("""COMPUTED_VALUE"""),"Debt")</f>
        <v>Debt</v>
      </c>
      <c r="B609" s="33" t="str">
        <f>IFERROR(__xludf.DUMMYFUNCTION("""COMPUTED_VALUE"""),"Groceries")</f>
        <v>Groceries</v>
      </c>
      <c r="C609" s="33" t="str">
        <f>IFERROR(__xludf.DUMMYFUNCTION("""COMPUTED_VALUE"""),"Healthcare")</f>
        <v>Healthcare</v>
      </c>
      <c r="D609" s="33" t="str">
        <f>IFERROR(__xludf.DUMMYFUNCTION("""COMPUTED_VALUE"""),"Household Items")</f>
        <v>Household Items</v>
      </c>
      <c r="E609" s="33" t="str">
        <f>IFERROR(__xludf.DUMMYFUNCTION("""COMPUTED_VALUE"""),"Housing")</f>
        <v>Housing</v>
      </c>
      <c r="F609" s="33" t="str">
        <f>IFERROR(__xludf.DUMMYFUNCTION("""COMPUTED_VALUE"""),"Miscellaneous")</f>
        <v>Miscellaneous</v>
      </c>
      <c r="G609" s="33" t="str">
        <f>IFERROR(__xludf.DUMMYFUNCTION("""COMPUTED_VALUE"""),"Pet")</f>
        <v>Pet</v>
      </c>
      <c r="H609" s="33" t="str">
        <f>IFERROR(__xludf.DUMMYFUNCTION("""COMPUTED_VALUE"""),"Transportation")</f>
        <v>Transportation</v>
      </c>
      <c r="I609" s="33"/>
      <c r="J609" s="33"/>
      <c r="K609" s="33"/>
    </row>
    <row r="610">
      <c r="A610" s="33" t="str">
        <f>IFERROR(__xludf.DUMMYFUNCTION("""COMPUTED_VALUE"""),"Deposit")</f>
        <v>Deposit</v>
      </c>
      <c r="B610" s="33" t="str">
        <f>IFERROR(__xludf.DUMMYFUNCTION("""COMPUTED_VALUE"""),"Withdrawal")</f>
        <v>Withdrawal</v>
      </c>
      <c r="C610" s="33"/>
      <c r="D610" s="33"/>
      <c r="E610" s="33"/>
      <c r="F610" s="33"/>
      <c r="G610" s="33"/>
      <c r="H610" s="33"/>
      <c r="I610" s="33"/>
      <c r="J610" s="33"/>
      <c r="K610" s="33"/>
    </row>
    <row r="611">
      <c r="A611" s="33" t="str">
        <f>IFERROR(__xludf.DUMMYFUNCTION("""COMPUTED_VALUE"""),"Deposit")</f>
        <v>Deposit</v>
      </c>
      <c r="B611" s="33" t="str">
        <f>IFERROR(__xludf.DUMMYFUNCTION("""COMPUTED_VALUE"""),"Withdrawal")</f>
        <v>Withdrawal</v>
      </c>
      <c r="C611" s="33"/>
      <c r="D611" s="33"/>
      <c r="E611" s="33"/>
      <c r="F611" s="33"/>
      <c r="G611" s="33"/>
      <c r="H611" s="33"/>
      <c r="I611" s="33"/>
      <c r="J611" s="33"/>
      <c r="K611" s="33"/>
    </row>
    <row r="612">
      <c r="A612" s="33" t="str">
        <f>IFERROR(__xludf.DUMMYFUNCTION("""COMPUTED_VALUE"""),"Cashback")</f>
        <v>Cashback</v>
      </c>
      <c r="B612" s="33" t="str">
        <f>IFERROR(__xludf.DUMMYFUNCTION("""COMPUTED_VALUE"""),"Investment Returns")</f>
        <v>Investment Returns</v>
      </c>
      <c r="C612" s="33" t="str">
        <f>IFERROR(__xludf.DUMMYFUNCTION("""COMPUTED_VALUE"""),"Paycheck")</f>
        <v>Paycheck</v>
      </c>
      <c r="D612" s="33" t="str">
        <f>IFERROR(__xludf.DUMMYFUNCTION("""COMPUTED_VALUE"""),"Reimbursement")</f>
        <v>Reimbursement</v>
      </c>
      <c r="E612" s="33" t="str">
        <f>IFERROR(__xludf.DUMMYFUNCTION("""COMPUTED_VALUE"""),"Rewards")</f>
        <v>Rewards</v>
      </c>
      <c r="F612" s="33"/>
      <c r="G612" s="33"/>
      <c r="H612" s="33"/>
      <c r="I612" s="33"/>
      <c r="J612" s="33"/>
      <c r="K612" s="33"/>
    </row>
    <row r="613">
      <c r="A613" s="33" t="str">
        <f>IFERROR(__xludf.DUMMYFUNCTION("""COMPUTED_VALUE"""),"Cashback")</f>
        <v>Cashback</v>
      </c>
      <c r="B613" s="33" t="str">
        <f>IFERROR(__xludf.DUMMYFUNCTION("""COMPUTED_VALUE"""),"Investment Returns")</f>
        <v>Investment Returns</v>
      </c>
      <c r="C613" s="33" t="str">
        <f>IFERROR(__xludf.DUMMYFUNCTION("""COMPUTED_VALUE"""),"Paycheck")</f>
        <v>Paycheck</v>
      </c>
      <c r="D613" s="33" t="str">
        <f>IFERROR(__xludf.DUMMYFUNCTION("""COMPUTED_VALUE"""),"Reimbursement")</f>
        <v>Reimbursement</v>
      </c>
      <c r="E613" s="33" t="str">
        <f>IFERROR(__xludf.DUMMYFUNCTION("""COMPUTED_VALUE"""),"Rewards")</f>
        <v>Rewards</v>
      </c>
      <c r="F613" s="33"/>
      <c r="G613" s="33"/>
      <c r="H613" s="33"/>
      <c r="I613" s="33"/>
      <c r="J613" s="33"/>
      <c r="K613" s="33"/>
    </row>
    <row r="614">
      <c r="A614" s="33" t="str">
        <f>IFERROR(__xludf.DUMMYFUNCTION("""COMPUTED_VALUE"""),"Clothing")</f>
        <v>Clothing</v>
      </c>
      <c r="B614" s="33" t="str">
        <f>IFERROR(__xludf.DUMMYFUNCTION("""COMPUTED_VALUE"""),"Gifts")</f>
        <v>Gifts</v>
      </c>
      <c r="C614" s="33" t="str">
        <f>IFERROR(__xludf.DUMMYFUNCTION("""COMPUTED_VALUE"""),"Healthcare")</f>
        <v>Healthcare</v>
      </c>
      <c r="D614" s="33" t="str">
        <f>IFERROR(__xludf.DUMMYFUNCTION("""COMPUTED_VALUE"""),"Hobbies")</f>
        <v>Hobbies</v>
      </c>
      <c r="E614" s="33" t="str">
        <f>IFERROR(__xludf.DUMMYFUNCTION("""COMPUTED_VALUE"""),"Organization")</f>
        <v>Organization</v>
      </c>
      <c r="F614" s="33"/>
      <c r="G614" s="33"/>
      <c r="H614" s="33"/>
      <c r="I614" s="33"/>
      <c r="J614" s="33"/>
      <c r="K614" s="33"/>
    </row>
    <row r="615">
      <c r="A615" s="33" t="str">
        <f>IFERROR(__xludf.DUMMYFUNCTION("""COMPUTED_VALUE"""),"Dining Out")</f>
        <v>Dining Out</v>
      </c>
      <c r="B615" s="33" t="str">
        <f>IFERROR(__xludf.DUMMYFUNCTION("""COMPUTED_VALUE"""),"Entertainment")</f>
        <v>Entertainment</v>
      </c>
      <c r="C615" s="33" t="str">
        <f>IFERROR(__xludf.DUMMYFUNCTION("""COMPUTED_VALUE"""),"Gaming")</f>
        <v>Gaming</v>
      </c>
      <c r="D615" s="33" t="str">
        <f>IFERROR(__xludf.DUMMYFUNCTION("""COMPUTED_VALUE"""),"Gifts")</f>
        <v>Gifts</v>
      </c>
      <c r="E615" s="33" t="str">
        <f>IFERROR(__xludf.DUMMYFUNCTION("""COMPUTED_VALUE"""),"Groceries")</f>
        <v>Groceries</v>
      </c>
      <c r="F615" s="33" t="str">
        <f>IFERROR(__xludf.DUMMYFUNCTION("""COMPUTED_VALUE"""),"Healthcare")</f>
        <v>Healthcare</v>
      </c>
      <c r="G615" s="33" t="str">
        <f>IFERROR(__xludf.DUMMYFUNCTION("""COMPUTED_VALUE"""),"Hobbies")</f>
        <v>Hobbies</v>
      </c>
      <c r="H615" s="33" t="str">
        <f>IFERROR(__xludf.DUMMYFUNCTION("""COMPUTED_VALUE"""),"Household Items")</f>
        <v>Household Items</v>
      </c>
      <c r="I615" s="33" t="str">
        <f>IFERROR(__xludf.DUMMYFUNCTION("""COMPUTED_VALUE"""),"Subscriptions")</f>
        <v>Subscriptions</v>
      </c>
      <c r="J615" s="33" t="str">
        <f>IFERROR(__xludf.DUMMYFUNCTION("""COMPUTED_VALUE"""),"Transportation")</f>
        <v>Transportation</v>
      </c>
      <c r="K615" s="33" t="str">
        <f>IFERROR(__xludf.DUMMYFUNCTION("""COMPUTED_VALUE"""),"Travel")</f>
        <v>Travel</v>
      </c>
    </row>
    <row r="616">
      <c r="A616" s="33" t="str">
        <f>IFERROR(__xludf.DUMMYFUNCTION("""COMPUTED_VALUE"""),"Dining Out")</f>
        <v>Dining Out</v>
      </c>
      <c r="B616" s="33" t="str">
        <f>IFERROR(__xludf.DUMMYFUNCTION("""COMPUTED_VALUE"""),"Entertainment")</f>
        <v>Entertainment</v>
      </c>
      <c r="C616" s="33" t="str">
        <f>IFERROR(__xludf.DUMMYFUNCTION("""COMPUTED_VALUE"""),"Gaming")</f>
        <v>Gaming</v>
      </c>
      <c r="D616" s="33" t="str">
        <f>IFERROR(__xludf.DUMMYFUNCTION("""COMPUTED_VALUE"""),"Gifts")</f>
        <v>Gifts</v>
      </c>
      <c r="E616" s="33" t="str">
        <f>IFERROR(__xludf.DUMMYFUNCTION("""COMPUTED_VALUE"""),"Groceries")</f>
        <v>Groceries</v>
      </c>
      <c r="F616" s="33" t="str">
        <f>IFERROR(__xludf.DUMMYFUNCTION("""COMPUTED_VALUE"""),"Healthcare")</f>
        <v>Healthcare</v>
      </c>
      <c r="G616" s="33" t="str">
        <f>IFERROR(__xludf.DUMMYFUNCTION("""COMPUTED_VALUE"""),"Hobbies")</f>
        <v>Hobbies</v>
      </c>
      <c r="H616" s="33" t="str">
        <f>IFERROR(__xludf.DUMMYFUNCTION("""COMPUTED_VALUE"""),"Household Items")</f>
        <v>Household Items</v>
      </c>
      <c r="I616" s="33" t="str">
        <f>IFERROR(__xludf.DUMMYFUNCTION("""COMPUTED_VALUE"""),"Subscriptions")</f>
        <v>Subscriptions</v>
      </c>
      <c r="J616" s="33" t="str">
        <f>IFERROR(__xludf.DUMMYFUNCTION("""COMPUTED_VALUE"""),"Transportation")</f>
        <v>Transportation</v>
      </c>
      <c r="K616" s="33" t="str">
        <f>IFERROR(__xludf.DUMMYFUNCTION("""COMPUTED_VALUE"""),"Travel")</f>
        <v>Travel</v>
      </c>
    </row>
    <row r="617">
      <c r="A617" s="33" t="str">
        <f>IFERROR(__xludf.DUMMYFUNCTION("""COMPUTED_VALUE"""),"Dining Out")</f>
        <v>Dining Out</v>
      </c>
      <c r="B617" s="33" t="str">
        <f>IFERROR(__xludf.DUMMYFUNCTION("""COMPUTED_VALUE"""),"Entertainment")</f>
        <v>Entertainment</v>
      </c>
      <c r="C617" s="33" t="str">
        <f>IFERROR(__xludf.DUMMYFUNCTION("""COMPUTED_VALUE"""),"Gaming")</f>
        <v>Gaming</v>
      </c>
      <c r="D617" s="33" t="str">
        <f>IFERROR(__xludf.DUMMYFUNCTION("""COMPUTED_VALUE"""),"Gifts")</f>
        <v>Gifts</v>
      </c>
      <c r="E617" s="33" t="str">
        <f>IFERROR(__xludf.DUMMYFUNCTION("""COMPUTED_VALUE"""),"Groceries")</f>
        <v>Groceries</v>
      </c>
      <c r="F617" s="33" t="str">
        <f>IFERROR(__xludf.DUMMYFUNCTION("""COMPUTED_VALUE"""),"Healthcare")</f>
        <v>Healthcare</v>
      </c>
      <c r="G617" s="33" t="str">
        <f>IFERROR(__xludf.DUMMYFUNCTION("""COMPUTED_VALUE"""),"Hobbies")</f>
        <v>Hobbies</v>
      </c>
      <c r="H617" s="33" t="str">
        <f>IFERROR(__xludf.DUMMYFUNCTION("""COMPUTED_VALUE"""),"Household Items")</f>
        <v>Household Items</v>
      </c>
      <c r="I617" s="33" t="str">
        <f>IFERROR(__xludf.DUMMYFUNCTION("""COMPUTED_VALUE"""),"Subscriptions")</f>
        <v>Subscriptions</v>
      </c>
      <c r="J617" s="33" t="str">
        <f>IFERROR(__xludf.DUMMYFUNCTION("""COMPUTED_VALUE"""),"Transportation")</f>
        <v>Transportation</v>
      </c>
      <c r="K617" s="33" t="str">
        <f>IFERROR(__xludf.DUMMYFUNCTION("""COMPUTED_VALUE"""),"Travel")</f>
        <v>Travel</v>
      </c>
    </row>
    <row r="618">
      <c r="A618" s="33" t="str">
        <f>IFERROR(__xludf.DUMMYFUNCTION("""COMPUTED_VALUE"""),"Boarding")</f>
        <v>Boarding</v>
      </c>
      <c r="B618" s="33" t="str">
        <f>IFERROR(__xludf.DUMMYFUNCTION("""COMPUTED_VALUE"""),"Clothing")</f>
        <v>Clothing</v>
      </c>
      <c r="C618" s="33" t="str">
        <f>IFERROR(__xludf.DUMMYFUNCTION("""COMPUTED_VALUE"""),"Daycare")</f>
        <v>Daycare</v>
      </c>
      <c r="D618" s="33" t="str">
        <f>IFERROR(__xludf.DUMMYFUNCTION("""COMPUTED_VALUE"""),"Grooming")</f>
        <v>Grooming</v>
      </c>
      <c r="E618" s="33" t="str">
        <f>IFERROR(__xludf.DUMMYFUNCTION("""COMPUTED_VALUE"""),"Toys")</f>
        <v>Toys</v>
      </c>
      <c r="F618" s="33" t="str">
        <f>IFERROR(__xludf.DUMMYFUNCTION("""COMPUTED_VALUE"""),"Treats")</f>
        <v>Treats</v>
      </c>
      <c r="G618" s="33"/>
      <c r="H618" s="33"/>
      <c r="I618" s="33"/>
      <c r="J618" s="33"/>
      <c r="K618" s="33"/>
    </row>
    <row r="619">
      <c r="A619" s="33" t="str">
        <f>IFERROR(__xludf.DUMMYFUNCTION("""COMPUTED_VALUE"""),"Debt")</f>
        <v>Debt</v>
      </c>
      <c r="B619" s="33" t="str">
        <f>IFERROR(__xludf.DUMMYFUNCTION("""COMPUTED_VALUE"""),"Groceries")</f>
        <v>Groceries</v>
      </c>
      <c r="C619" s="33" t="str">
        <f>IFERROR(__xludf.DUMMYFUNCTION("""COMPUTED_VALUE"""),"Healthcare")</f>
        <v>Healthcare</v>
      </c>
      <c r="D619" s="33" t="str">
        <f>IFERROR(__xludf.DUMMYFUNCTION("""COMPUTED_VALUE"""),"Household Items")</f>
        <v>Household Items</v>
      </c>
      <c r="E619" s="33" t="str">
        <f>IFERROR(__xludf.DUMMYFUNCTION("""COMPUTED_VALUE"""),"Housing")</f>
        <v>Housing</v>
      </c>
      <c r="F619" s="33" t="str">
        <f>IFERROR(__xludf.DUMMYFUNCTION("""COMPUTED_VALUE"""),"Miscellaneous")</f>
        <v>Miscellaneous</v>
      </c>
      <c r="G619" s="33" t="str">
        <f>IFERROR(__xludf.DUMMYFUNCTION("""COMPUTED_VALUE"""),"Pet")</f>
        <v>Pet</v>
      </c>
      <c r="H619" s="33" t="str">
        <f>IFERROR(__xludf.DUMMYFUNCTION("""COMPUTED_VALUE"""),"Transportation")</f>
        <v>Transportation</v>
      </c>
      <c r="I619" s="33"/>
      <c r="J619" s="33"/>
      <c r="K619" s="33"/>
    </row>
    <row r="620">
      <c r="A620" s="33" t="str">
        <f>IFERROR(__xludf.DUMMYFUNCTION("""COMPUTED_VALUE"""),"Debt")</f>
        <v>Debt</v>
      </c>
      <c r="B620" s="33" t="str">
        <f>IFERROR(__xludf.DUMMYFUNCTION("""COMPUTED_VALUE"""),"Groceries")</f>
        <v>Groceries</v>
      </c>
      <c r="C620" s="33" t="str">
        <f>IFERROR(__xludf.DUMMYFUNCTION("""COMPUTED_VALUE"""),"Healthcare")</f>
        <v>Healthcare</v>
      </c>
      <c r="D620" s="33" t="str">
        <f>IFERROR(__xludf.DUMMYFUNCTION("""COMPUTED_VALUE"""),"Household Items")</f>
        <v>Household Items</v>
      </c>
      <c r="E620" s="33" t="str">
        <f>IFERROR(__xludf.DUMMYFUNCTION("""COMPUTED_VALUE"""),"Housing")</f>
        <v>Housing</v>
      </c>
      <c r="F620" s="33" t="str">
        <f>IFERROR(__xludf.DUMMYFUNCTION("""COMPUTED_VALUE"""),"Miscellaneous")</f>
        <v>Miscellaneous</v>
      </c>
      <c r="G620" s="33" t="str">
        <f>IFERROR(__xludf.DUMMYFUNCTION("""COMPUTED_VALUE"""),"Pet")</f>
        <v>Pet</v>
      </c>
      <c r="H620" s="33" t="str">
        <f>IFERROR(__xludf.DUMMYFUNCTION("""COMPUTED_VALUE"""),"Transportation")</f>
        <v>Transportation</v>
      </c>
      <c r="I620" s="33"/>
      <c r="J620" s="33"/>
      <c r="K620" s="33"/>
    </row>
    <row r="621">
      <c r="A621" s="33" t="str">
        <f>IFERROR(__xludf.DUMMYFUNCTION("""COMPUTED_VALUE"""),"Debt")</f>
        <v>Debt</v>
      </c>
      <c r="B621" s="33" t="str">
        <f>IFERROR(__xludf.DUMMYFUNCTION("""COMPUTED_VALUE"""),"Groceries")</f>
        <v>Groceries</v>
      </c>
      <c r="C621" s="33" t="str">
        <f>IFERROR(__xludf.DUMMYFUNCTION("""COMPUTED_VALUE"""),"Healthcare")</f>
        <v>Healthcare</v>
      </c>
      <c r="D621" s="33" t="str">
        <f>IFERROR(__xludf.DUMMYFUNCTION("""COMPUTED_VALUE"""),"Household Items")</f>
        <v>Household Items</v>
      </c>
      <c r="E621" s="33" t="str">
        <f>IFERROR(__xludf.DUMMYFUNCTION("""COMPUTED_VALUE"""),"Housing")</f>
        <v>Housing</v>
      </c>
      <c r="F621" s="33" t="str">
        <f>IFERROR(__xludf.DUMMYFUNCTION("""COMPUTED_VALUE"""),"Miscellaneous")</f>
        <v>Miscellaneous</v>
      </c>
      <c r="G621" s="33" t="str">
        <f>IFERROR(__xludf.DUMMYFUNCTION("""COMPUTED_VALUE"""),"Pet")</f>
        <v>Pet</v>
      </c>
      <c r="H621" s="33" t="str">
        <f>IFERROR(__xludf.DUMMYFUNCTION("""COMPUTED_VALUE"""),"Transportation")</f>
        <v>Transportation</v>
      </c>
      <c r="I621" s="33"/>
      <c r="J621" s="33"/>
      <c r="K621" s="33"/>
    </row>
    <row r="622">
      <c r="A622" s="33" t="str">
        <f>IFERROR(__xludf.DUMMYFUNCTION("""COMPUTED_VALUE"""),"Debt")</f>
        <v>Debt</v>
      </c>
      <c r="B622" s="33" t="str">
        <f>IFERROR(__xludf.DUMMYFUNCTION("""COMPUTED_VALUE"""),"Groceries")</f>
        <v>Groceries</v>
      </c>
      <c r="C622" s="33" t="str">
        <f>IFERROR(__xludf.DUMMYFUNCTION("""COMPUTED_VALUE"""),"Healthcare")</f>
        <v>Healthcare</v>
      </c>
      <c r="D622" s="33" t="str">
        <f>IFERROR(__xludf.DUMMYFUNCTION("""COMPUTED_VALUE"""),"Household Items")</f>
        <v>Household Items</v>
      </c>
      <c r="E622" s="33" t="str">
        <f>IFERROR(__xludf.DUMMYFUNCTION("""COMPUTED_VALUE"""),"Housing")</f>
        <v>Housing</v>
      </c>
      <c r="F622" s="33" t="str">
        <f>IFERROR(__xludf.DUMMYFUNCTION("""COMPUTED_VALUE"""),"Miscellaneous")</f>
        <v>Miscellaneous</v>
      </c>
      <c r="G622" s="33" t="str">
        <f>IFERROR(__xludf.DUMMYFUNCTION("""COMPUTED_VALUE"""),"Pet")</f>
        <v>Pet</v>
      </c>
      <c r="H622" s="33" t="str">
        <f>IFERROR(__xludf.DUMMYFUNCTION("""COMPUTED_VALUE"""),"Transportation")</f>
        <v>Transportation</v>
      </c>
      <c r="I622" s="33"/>
      <c r="J622" s="33"/>
      <c r="K622" s="33"/>
    </row>
    <row r="623">
      <c r="A623" s="33" t="str">
        <f>IFERROR(__xludf.DUMMYFUNCTION("""COMPUTED_VALUE"""),"Debt")</f>
        <v>Debt</v>
      </c>
      <c r="B623" s="33" t="str">
        <f>IFERROR(__xludf.DUMMYFUNCTION("""COMPUTED_VALUE"""),"Groceries")</f>
        <v>Groceries</v>
      </c>
      <c r="C623" s="33" t="str">
        <f>IFERROR(__xludf.DUMMYFUNCTION("""COMPUTED_VALUE"""),"Healthcare")</f>
        <v>Healthcare</v>
      </c>
      <c r="D623" s="33" t="str">
        <f>IFERROR(__xludf.DUMMYFUNCTION("""COMPUTED_VALUE"""),"Household Items")</f>
        <v>Household Items</v>
      </c>
      <c r="E623" s="33" t="str">
        <f>IFERROR(__xludf.DUMMYFUNCTION("""COMPUTED_VALUE"""),"Housing")</f>
        <v>Housing</v>
      </c>
      <c r="F623" s="33" t="str">
        <f>IFERROR(__xludf.DUMMYFUNCTION("""COMPUTED_VALUE"""),"Miscellaneous")</f>
        <v>Miscellaneous</v>
      </c>
      <c r="G623" s="33" t="str">
        <f>IFERROR(__xludf.DUMMYFUNCTION("""COMPUTED_VALUE"""),"Pet")</f>
        <v>Pet</v>
      </c>
      <c r="H623" s="33" t="str">
        <f>IFERROR(__xludf.DUMMYFUNCTION("""COMPUTED_VALUE"""),"Transportation")</f>
        <v>Transportation</v>
      </c>
      <c r="I623" s="33"/>
      <c r="J623" s="33"/>
      <c r="K623" s="33"/>
    </row>
    <row r="624">
      <c r="A624" s="33" t="str">
        <f>IFERROR(__xludf.DUMMYFUNCTION("""COMPUTED_VALUE"""),"Debt")</f>
        <v>Debt</v>
      </c>
      <c r="B624" s="33" t="str">
        <f>IFERROR(__xludf.DUMMYFUNCTION("""COMPUTED_VALUE"""),"Groceries")</f>
        <v>Groceries</v>
      </c>
      <c r="C624" s="33" t="str">
        <f>IFERROR(__xludf.DUMMYFUNCTION("""COMPUTED_VALUE"""),"Healthcare")</f>
        <v>Healthcare</v>
      </c>
      <c r="D624" s="33" t="str">
        <f>IFERROR(__xludf.DUMMYFUNCTION("""COMPUTED_VALUE"""),"Household Items")</f>
        <v>Household Items</v>
      </c>
      <c r="E624" s="33" t="str">
        <f>IFERROR(__xludf.DUMMYFUNCTION("""COMPUTED_VALUE"""),"Housing")</f>
        <v>Housing</v>
      </c>
      <c r="F624" s="33" t="str">
        <f>IFERROR(__xludf.DUMMYFUNCTION("""COMPUTED_VALUE"""),"Miscellaneous")</f>
        <v>Miscellaneous</v>
      </c>
      <c r="G624" s="33" t="str">
        <f>IFERROR(__xludf.DUMMYFUNCTION("""COMPUTED_VALUE"""),"Pet")</f>
        <v>Pet</v>
      </c>
      <c r="H624" s="33" t="str">
        <f>IFERROR(__xludf.DUMMYFUNCTION("""COMPUTED_VALUE"""),"Transportation")</f>
        <v>Transportation</v>
      </c>
      <c r="I624" s="33"/>
      <c r="J624" s="33"/>
      <c r="K624" s="33"/>
    </row>
    <row r="625">
      <c r="A625" s="33" t="str">
        <f>IFERROR(__xludf.DUMMYFUNCTION("""COMPUTED_VALUE"""),"Debt")</f>
        <v>Debt</v>
      </c>
      <c r="B625" s="33" t="str">
        <f>IFERROR(__xludf.DUMMYFUNCTION("""COMPUTED_VALUE"""),"Groceries")</f>
        <v>Groceries</v>
      </c>
      <c r="C625" s="33" t="str">
        <f>IFERROR(__xludf.DUMMYFUNCTION("""COMPUTED_VALUE"""),"Healthcare")</f>
        <v>Healthcare</v>
      </c>
      <c r="D625" s="33" t="str">
        <f>IFERROR(__xludf.DUMMYFUNCTION("""COMPUTED_VALUE"""),"Household Items")</f>
        <v>Household Items</v>
      </c>
      <c r="E625" s="33" t="str">
        <f>IFERROR(__xludf.DUMMYFUNCTION("""COMPUTED_VALUE"""),"Housing")</f>
        <v>Housing</v>
      </c>
      <c r="F625" s="33" t="str">
        <f>IFERROR(__xludf.DUMMYFUNCTION("""COMPUTED_VALUE"""),"Miscellaneous")</f>
        <v>Miscellaneous</v>
      </c>
      <c r="G625" s="33" t="str">
        <f>IFERROR(__xludf.DUMMYFUNCTION("""COMPUTED_VALUE"""),"Pet")</f>
        <v>Pet</v>
      </c>
      <c r="H625" s="33" t="str">
        <f>IFERROR(__xludf.DUMMYFUNCTION("""COMPUTED_VALUE"""),"Transportation")</f>
        <v>Transportation</v>
      </c>
      <c r="I625" s="33"/>
      <c r="J625" s="33"/>
      <c r="K625" s="33"/>
    </row>
    <row r="626">
      <c r="A626" s="33" t="str">
        <f>IFERROR(__xludf.DUMMYFUNCTION("""COMPUTED_VALUE"""),"Debt")</f>
        <v>Debt</v>
      </c>
      <c r="B626" s="33" t="str">
        <f>IFERROR(__xludf.DUMMYFUNCTION("""COMPUTED_VALUE"""),"Groceries")</f>
        <v>Groceries</v>
      </c>
      <c r="C626" s="33" t="str">
        <f>IFERROR(__xludf.DUMMYFUNCTION("""COMPUTED_VALUE"""),"Healthcare")</f>
        <v>Healthcare</v>
      </c>
      <c r="D626" s="33" t="str">
        <f>IFERROR(__xludf.DUMMYFUNCTION("""COMPUTED_VALUE"""),"Household Items")</f>
        <v>Household Items</v>
      </c>
      <c r="E626" s="33" t="str">
        <f>IFERROR(__xludf.DUMMYFUNCTION("""COMPUTED_VALUE"""),"Housing")</f>
        <v>Housing</v>
      </c>
      <c r="F626" s="33" t="str">
        <f>IFERROR(__xludf.DUMMYFUNCTION("""COMPUTED_VALUE"""),"Miscellaneous")</f>
        <v>Miscellaneous</v>
      </c>
      <c r="G626" s="33" t="str">
        <f>IFERROR(__xludf.DUMMYFUNCTION("""COMPUTED_VALUE"""),"Pet")</f>
        <v>Pet</v>
      </c>
      <c r="H626" s="33" t="str">
        <f>IFERROR(__xludf.DUMMYFUNCTION("""COMPUTED_VALUE"""),"Transportation")</f>
        <v>Transportation</v>
      </c>
      <c r="I626" s="33"/>
      <c r="J626" s="33"/>
      <c r="K626" s="33"/>
    </row>
    <row r="627">
      <c r="A627" s="33" t="str">
        <f>IFERROR(__xludf.DUMMYFUNCTION("""COMPUTED_VALUE"""),"Debt")</f>
        <v>Debt</v>
      </c>
      <c r="B627" s="33" t="str">
        <f>IFERROR(__xludf.DUMMYFUNCTION("""COMPUTED_VALUE"""),"Groceries")</f>
        <v>Groceries</v>
      </c>
      <c r="C627" s="33" t="str">
        <f>IFERROR(__xludf.DUMMYFUNCTION("""COMPUTED_VALUE"""),"Healthcare")</f>
        <v>Healthcare</v>
      </c>
      <c r="D627" s="33" t="str">
        <f>IFERROR(__xludf.DUMMYFUNCTION("""COMPUTED_VALUE"""),"Household Items")</f>
        <v>Household Items</v>
      </c>
      <c r="E627" s="33" t="str">
        <f>IFERROR(__xludf.DUMMYFUNCTION("""COMPUTED_VALUE"""),"Housing")</f>
        <v>Housing</v>
      </c>
      <c r="F627" s="33" t="str">
        <f>IFERROR(__xludf.DUMMYFUNCTION("""COMPUTED_VALUE"""),"Miscellaneous")</f>
        <v>Miscellaneous</v>
      </c>
      <c r="G627" s="33" t="str">
        <f>IFERROR(__xludf.DUMMYFUNCTION("""COMPUTED_VALUE"""),"Pet")</f>
        <v>Pet</v>
      </c>
      <c r="H627" s="33" t="str">
        <f>IFERROR(__xludf.DUMMYFUNCTION("""COMPUTED_VALUE"""),"Transportation")</f>
        <v>Transportation</v>
      </c>
      <c r="I627" s="33"/>
      <c r="J627" s="33"/>
      <c r="K627" s="33"/>
    </row>
    <row r="628">
      <c r="A628" s="33" t="str">
        <f>IFERROR(__xludf.DUMMYFUNCTION("""COMPUTED_VALUE"""),"Debt")</f>
        <v>Debt</v>
      </c>
      <c r="B628" s="33" t="str">
        <f>IFERROR(__xludf.DUMMYFUNCTION("""COMPUTED_VALUE"""),"Groceries")</f>
        <v>Groceries</v>
      </c>
      <c r="C628" s="33" t="str">
        <f>IFERROR(__xludf.DUMMYFUNCTION("""COMPUTED_VALUE"""),"Healthcare")</f>
        <v>Healthcare</v>
      </c>
      <c r="D628" s="33" t="str">
        <f>IFERROR(__xludf.DUMMYFUNCTION("""COMPUTED_VALUE"""),"Household Items")</f>
        <v>Household Items</v>
      </c>
      <c r="E628" s="33" t="str">
        <f>IFERROR(__xludf.DUMMYFUNCTION("""COMPUTED_VALUE"""),"Housing")</f>
        <v>Housing</v>
      </c>
      <c r="F628" s="33" t="str">
        <f>IFERROR(__xludf.DUMMYFUNCTION("""COMPUTED_VALUE"""),"Miscellaneous")</f>
        <v>Miscellaneous</v>
      </c>
      <c r="G628" s="33" t="str">
        <f>IFERROR(__xludf.DUMMYFUNCTION("""COMPUTED_VALUE"""),"Pet")</f>
        <v>Pet</v>
      </c>
      <c r="H628" s="33" t="str">
        <f>IFERROR(__xludf.DUMMYFUNCTION("""COMPUTED_VALUE"""),"Transportation")</f>
        <v>Transportation</v>
      </c>
      <c r="I628" s="33"/>
      <c r="J628" s="33"/>
      <c r="K628" s="33"/>
    </row>
    <row r="629">
      <c r="A629" s="33" t="str">
        <f>IFERROR(__xludf.DUMMYFUNCTION("""COMPUTED_VALUE"""),"Debt")</f>
        <v>Debt</v>
      </c>
      <c r="B629" s="33" t="str">
        <f>IFERROR(__xludf.DUMMYFUNCTION("""COMPUTED_VALUE"""),"Groceries")</f>
        <v>Groceries</v>
      </c>
      <c r="C629" s="33" t="str">
        <f>IFERROR(__xludf.DUMMYFUNCTION("""COMPUTED_VALUE"""),"Healthcare")</f>
        <v>Healthcare</v>
      </c>
      <c r="D629" s="33" t="str">
        <f>IFERROR(__xludf.DUMMYFUNCTION("""COMPUTED_VALUE"""),"Household Items")</f>
        <v>Household Items</v>
      </c>
      <c r="E629" s="33" t="str">
        <f>IFERROR(__xludf.DUMMYFUNCTION("""COMPUTED_VALUE"""),"Housing")</f>
        <v>Housing</v>
      </c>
      <c r="F629" s="33" t="str">
        <f>IFERROR(__xludf.DUMMYFUNCTION("""COMPUTED_VALUE"""),"Miscellaneous")</f>
        <v>Miscellaneous</v>
      </c>
      <c r="G629" s="33" t="str">
        <f>IFERROR(__xludf.DUMMYFUNCTION("""COMPUTED_VALUE"""),"Pet")</f>
        <v>Pet</v>
      </c>
      <c r="H629" s="33" t="str">
        <f>IFERROR(__xludf.DUMMYFUNCTION("""COMPUTED_VALUE"""),"Transportation")</f>
        <v>Transportation</v>
      </c>
      <c r="I629" s="33"/>
      <c r="J629" s="33"/>
      <c r="K629" s="33"/>
    </row>
    <row r="630">
      <c r="A630" s="33" t="str">
        <f>IFERROR(__xludf.DUMMYFUNCTION("""COMPUTED_VALUE"""),"Deposit")</f>
        <v>Deposit</v>
      </c>
      <c r="B630" s="33" t="str">
        <f>IFERROR(__xludf.DUMMYFUNCTION("""COMPUTED_VALUE"""),"Withdrawal")</f>
        <v>Withdrawal</v>
      </c>
      <c r="C630" s="33"/>
      <c r="D630" s="33"/>
      <c r="E630" s="33"/>
      <c r="F630" s="33"/>
      <c r="G630" s="33"/>
      <c r="H630" s="33"/>
      <c r="I630" s="33"/>
      <c r="J630" s="33"/>
      <c r="K630" s="33"/>
    </row>
    <row r="631">
      <c r="A631" s="33" t="str">
        <f>IFERROR(__xludf.DUMMYFUNCTION("""COMPUTED_VALUE"""),"Deposit")</f>
        <v>Deposit</v>
      </c>
      <c r="B631" s="33" t="str">
        <f>IFERROR(__xludf.DUMMYFUNCTION("""COMPUTED_VALUE"""),"Withdrawal")</f>
        <v>Withdrawal</v>
      </c>
      <c r="C631" s="33"/>
      <c r="D631" s="33"/>
      <c r="E631" s="33"/>
      <c r="F631" s="33"/>
      <c r="G631" s="33"/>
      <c r="H631" s="33"/>
      <c r="I631" s="33"/>
      <c r="J631" s="33"/>
      <c r="K631" s="33"/>
    </row>
    <row r="632">
      <c r="A632" s="33" t="str">
        <f>IFERROR(__xludf.DUMMYFUNCTION("""COMPUTED_VALUE"""),"Clothing")</f>
        <v>Clothing</v>
      </c>
      <c r="B632" s="33" t="str">
        <f>IFERROR(__xludf.DUMMYFUNCTION("""COMPUTED_VALUE"""),"Gifts")</f>
        <v>Gifts</v>
      </c>
      <c r="C632" s="33" t="str">
        <f>IFERROR(__xludf.DUMMYFUNCTION("""COMPUTED_VALUE"""),"Healthcare")</f>
        <v>Healthcare</v>
      </c>
      <c r="D632" s="33" t="str">
        <f>IFERROR(__xludf.DUMMYFUNCTION("""COMPUTED_VALUE"""),"Hobbies")</f>
        <v>Hobbies</v>
      </c>
      <c r="E632" s="33" t="str">
        <f>IFERROR(__xludf.DUMMYFUNCTION("""COMPUTED_VALUE"""),"Organization")</f>
        <v>Organization</v>
      </c>
      <c r="F632" s="33"/>
      <c r="G632" s="33"/>
      <c r="H632" s="33"/>
      <c r="I632" s="33"/>
      <c r="J632" s="33"/>
      <c r="K632" s="33"/>
    </row>
    <row r="633">
      <c r="A633" s="33" t="str">
        <f>IFERROR(__xludf.DUMMYFUNCTION("""COMPUTED_VALUE"""),"Dining Out")</f>
        <v>Dining Out</v>
      </c>
      <c r="B633" s="33" t="str">
        <f>IFERROR(__xludf.DUMMYFUNCTION("""COMPUTED_VALUE"""),"Entertainment")</f>
        <v>Entertainment</v>
      </c>
      <c r="C633" s="33" t="str">
        <f>IFERROR(__xludf.DUMMYFUNCTION("""COMPUTED_VALUE"""),"Gaming")</f>
        <v>Gaming</v>
      </c>
      <c r="D633" s="33" t="str">
        <f>IFERROR(__xludf.DUMMYFUNCTION("""COMPUTED_VALUE"""),"Gifts")</f>
        <v>Gifts</v>
      </c>
      <c r="E633" s="33" t="str">
        <f>IFERROR(__xludf.DUMMYFUNCTION("""COMPUTED_VALUE"""),"Groceries")</f>
        <v>Groceries</v>
      </c>
      <c r="F633" s="33" t="str">
        <f>IFERROR(__xludf.DUMMYFUNCTION("""COMPUTED_VALUE"""),"Healthcare")</f>
        <v>Healthcare</v>
      </c>
      <c r="G633" s="33" t="str">
        <f>IFERROR(__xludf.DUMMYFUNCTION("""COMPUTED_VALUE"""),"Hobbies")</f>
        <v>Hobbies</v>
      </c>
      <c r="H633" s="33" t="str">
        <f>IFERROR(__xludf.DUMMYFUNCTION("""COMPUTED_VALUE"""),"Household Items")</f>
        <v>Household Items</v>
      </c>
      <c r="I633" s="33" t="str">
        <f>IFERROR(__xludf.DUMMYFUNCTION("""COMPUTED_VALUE"""),"Subscriptions")</f>
        <v>Subscriptions</v>
      </c>
      <c r="J633" s="33" t="str">
        <f>IFERROR(__xludf.DUMMYFUNCTION("""COMPUTED_VALUE"""),"Transportation")</f>
        <v>Transportation</v>
      </c>
      <c r="K633" s="33" t="str">
        <f>IFERROR(__xludf.DUMMYFUNCTION("""COMPUTED_VALUE"""),"Travel")</f>
        <v>Travel</v>
      </c>
    </row>
    <row r="634">
      <c r="A634" s="33" t="str">
        <f>IFERROR(__xludf.DUMMYFUNCTION("""COMPUTED_VALUE"""),"Clothing")</f>
        <v>Clothing</v>
      </c>
      <c r="B634" s="33" t="str">
        <f>IFERROR(__xludf.DUMMYFUNCTION("""COMPUTED_VALUE"""),"Gaming")</f>
        <v>Gaming</v>
      </c>
      <c r="C634" s="33" t="str">
        <f>IFERROR(__xludf.DUMMYFUNCTION("""COMPUTED_VALUE"""),"Gifts")</f>
        <v>Gifts</v>
      </c>
      <c r="D634" s="33" t="str">
        <f>IFERROR(__xludf.DUMMYFUNCTION("""COMPUTED_VALUE"""),"Healthcare")</f>
        <v>Healthcare</v>
      </c>
      <c r="E634" s="33" t="str">
        <f>IFERROR(__xludf.DUMMYFUNCTION("""COMPUTED_VALUE"""),"Hobbies")</f>
        <v>Hobbies</v>
      </c>
      <c r="F634" s="33" t="str">
        <f>IFERROR(__xludf.DUMMYFUNCTION("""COMPUTED_VALUE"""),"Subscriptions")</f>
        <v>Subscriptions</v>
      </c>
      <c r="G634" s="33"/>
      <c r="H634" s="33"/>
      <c r="I634" s="33"/>
      <c r="J634" s="33"/>
      <c r="K634" s="33"/>
    </row>
    <row r="635">
      <c r="A635" s="33" t="str">
        <f>IFERROR(__xludf.DUMMYFUNCTION("""COMPUTED_VALUE"""),"Dining Out")</f>
        <v>Dining Out</v>
      </c>
      <c r="B635" s="33" t="str">
        <f>IFERROR(__xludf.DUMMYFUNCTION("""COMPUTED_VALUE"""),"Entertainment")</f>
        <v>Entertainment</v>
      </c>
      <c r="C635" s="33" t="str">
        <f>IFERROR(__xludf.DUMMYFUNCTION("""COMPUTED_VALUE"""),"Gaming")</f>
        <v>Gaming</v>
      </c>
      <c r="D635" s="33" t="str">
        <f>IFERROR(__xludf.DUMMYFUNCTION("""COMPUTED_VALUE"""),"Gifts")</f>
        <v>Gifts</v>
      </c>
      <c r="E635" s="33" t="str">
        <f>IFERROR(__xludf.DUMMYFUNCTION("""COMPUTED_VALUE"""),"Groceries")</f>
        <v>Groceries</v>
      </c>
      <c r="F635" s="33" t="str">
        <f>IFERROR(__xludf.DUMMYFUNCTION("""COMPUTED_VALUE"""),"Healthcare")</f>
        <v>Healthcare</v>
      </c>
      <c r="G635" s="33" t="str">
        <f>IFERROR(__xludf.DUMMYFUNCTION("""COMPUTED_VALUE"""),"Hobbies")</f>
        <v>Hobbies</v>
      </c>
      <c r="H635" s="33" t="str">
        <f>IFERROR(__xludf.DUMMYFUNCTION("""COMPUTED_VALUE"""),"Household Items")</f>
        <v>Household Items</v>
      </c>
      <c r="I635" s="33" t="str">
        <f>IFERROR(__xludf.DUMMYFUNCTION("""COMPUTED_VALUE"""),"Subscriptions")</f>
        <v>Subscriptions</v>
      </c>
      <c r="J635" s="33" t="str">
        <f>IFERROR(__xludf.DUMMYFUNCTION("""COMPUTED_VALUE"""),"Transportation")</f>
        <v>Transportation</v>
      </c>
      <c r="K635" s="33" t="str">
        <f>IFERROR(__xludf.DUMMYFUNCTION("""COMPUTED_VALUE"""),"Travel")</f>
        <v>Travel</v>
      </c>
    </row>
    <row r="636">
      <c r="A636" s="33" t="str">
        <f>IFERROR(__xludf.DUMMYFUNCTION("""COMPUTED_VALUE"""),"Debt")</f>
        <v>Debt</v>
      </c>
      <c r="B636" s="33" t="str">
        <f>IFERROR(__xludf.DUMMYFUNCTION("""COMPUTED_VALUE"""),"Groceries")</f>
        <v>Groceries</v>
      </c>
      <c r="C636" s="33" t="str">
        <f>IFERROR(__xludf.DUMMYFUNCTION("""COMPUTED_VALUE"""),"Healthcare")</f>
        <v>Healthcare</v>
      </c>
      <c r="D636" s="33" t="str">
        <f>IFERROR(__xludf.DUMMYFUNCTION("""COMPUTED_VALUE"""),"Household Items")</f>
        <v>Household Items</v>
      </c>
      <c r="E636" s="33" t="str">
        <f>IFERROR(__xludf.DUMMYFUNCTION("""COMPUTED_VALUE"""),"Housing")</f>
        <v>Housing</v>
      </c>
      <c r="F636" s="33" t="str">
        <f>IFERROR(__xludf.DUMMYFUNCTION("""COMPUTED_VALUE"""),"Miscellaneous")</f>
        <v>Miscellaneous</v>
      </c>
      <c r="G636" s="33" t="str">
        <f>IFERROR(__xludf.DUMMYFUNCTION("""COMPUTED_VALUE"""),"Pet")</f>
        <v>Pet</v>
      </c>
      <c r="H636" s="33" t="str">
        <f>IFERROR(__xludf.DUMMYFUNCTION("""COMPUTED_VALUE"""),"Transportation")</f>
        <v>Transportation</v>
      </c>
      <c r="I636" s="33"/>
      <c r="J636" s="33"/>
      <c r="K636" s="33"/>
    </row>
    <row r="637">
      <c r="A637" s="33" t="str">
        <f>IFERROR(__xludf.DUMMYFUNCTION("""COMPUTED_VALUE"""),"Debt")</f>
        <v>Debt</v>
      </c>
      <c r="B637" s="33" t="str">
        <f>IFERROR(__xludf.DUMMYFUNCTION("""COMPUTED_VALUE"""),"Groceries")</f>
        <v>Groceries</v>
      </c>
      <c r="C637" s="33" t="str">
        <f>IFERROR(__xludf.DUMMYFUNCTION("""COMPUTED_VALUE"""),"Healthcare")</f>
        <v>Healthcare</v>
      </c>
      <c r="D637" s="33" t="str">
        <f>IFERROR(__xludf.DUMMYFUNCTION("""COMPUTED_VALUE"""),"Household Items")</f>
        <v>Household Items</v>
      </c>
      <c r="E637" s="33" t="str">
        <f>IFERROR(__xludf.DUMMYFUNCTION("""COMPUTED_VALUE"""),"Housing")</f>
        <v>Housing</v>
      </c>
      <c r="F637" s="33" t="str">
        <f>IFERROR(__xludf.DUMMYFUNCTION("""COMPUTED_VALUE"""),"Miscellaneous")</f>
        <v>Miscellaneous</v>
      </c>
      <c r="G637" s="33" t="str">
        <f>IFERROR(__xludf.DUMMYFUNCTION("""COMPUTED_VALUE"""),"Pet")</f>
        <v>Pet</v>
      </c>
      <c r="H637" s="33" t="str">
        <f>IFERROR(__xludf.DUMMYFUNCTION("""COMPUTED_VALUE"""),"Transportation")</f>
        <v>Transportation</v>
      </c>
      <c r="I637" s="33"/>
      <c r="J637" s="33"/>
      <c r="K637" s="33"/>
    </row>
    <row r="638">
      <c r="A638" s="33" t="str">
        <f>IFERROR(__xludf.DUMMYFUNCTION("""COMPUTED_VALUE"""),"Debt")</f>
        <v>Debt</v>
      </c>
      <c r="B638" s="33" t="str">
        <f>IFERROR(__xludf.DUMMYFUNCTION("""COMPUTED_VALUE"""),"Groceries")</f>
        <v>Groceries</v>
      </c>
      <c r="C638" s="33" t="str">
        <f>IFERROR(__xludf.DUMMYFUNCTION("""COMPUTED_VALUE"""),"Healthcare")</f>
        <v>Healthcare</v>
      </c>
      <c r="D638" s="33" t="str">
        <f>IFERROR(__xludf.DUMMYFUNCTION("""COMPUTED_VALUE"""),"Household Items")</f>
        <v>Household Items</v>
      </c>
      <c r="E638" s="33" t="str">
        <f>IFERROR(__xludf.DUMMYFUNCTION("""COMPUTED_VALUE"""),"Housing")</f>
        <v>Housing</v>
      </c>
      <c r="F638" s="33" t="str">
        <f>IFERROR(__xludf.DUMMYFUNCTION("""COMPUTED_VALUE"""),"Miscellaneous")</f>
        <v>Miscellaneous</v>
      </c>
      <c r="G638" s="33" t="str">
        <f>IFERROR(__xludf.DUMMYFUNCTION("""COMPUTED_VALUE"""),"Pet")</f>
        <v>Pet</v>
      </c>
      <c r="H638" s="33" t="str">
        <f>IFERROR(__xludf.DUMMYFUNCTION("""COMPUTED_VALUE"""),"Transportation")</f>
        <v>Transportation</v>
      </c>
      <c r="I638" s="33"/>
      <c r="J638" s="33"/>
      <c r="K638" s="33"/>
    </row>
    <row r="639">
      <c r="A639" s="33" t="str">
        <f>IFERROR(__xludf.DUMMYFUNCTION("""COMPUTED_VALUE"""),"Debt")</f>
        <v>Debt</v>
      </c>
      <c r="B639" s="33" t="str">
        <f>IFERROR(__xludf.DUMMYFUNCTION("""COMPUTED_VALUE"""),"Groceries")</f>
        <v>Groceries</v>
      </c>
      <c r="C639" s="33" t="str">
        <f>IFERROR(__xludf.DUMMYFUNCTION("""COMPUTED_VALUE"""),"Healthcare")</f>
        <v>Healthcare</v>
      </c>
      <c r="D639" s="33" t="str">
        <f>IFERROR(__xludf.DUMMYFUNCTION("""COMPUTED_VALUE"""),"Household Items")</f>
        <v>Household Items</v>
      </c>
      <c r="E639" s="33" t="str">
        <f>IFERROR(__xludf.DUMMYFUNCTION("""COMPUTED_VALUE"""),"Housing")</f>
        <v>Housing</v>
      </c>
      <c r="F639" s="33" t="str">
        <f>IFERROR(__xludf.DUMMYFUNCTION("""COMPUTED_VALUE"""),"Miscellaneous")</f>
        <v>Miscellaneous</v>
      </c>
      <c r="G639" s="33" t="str">
        <f>IFERROR(__xludf.DUMMYFUNCTION("""COMPUTED_VALUE"""),"Pet")</f>
        <v>Pet</v>
      </c>
      <c r="H639" s="33" t="str">
        <f>IFERROR(__xludf.DUMMYFUNCTION("""COMPUTED_VALUE"""),"Transportation")</f>
        <v>Transportation</v>
      </c>
      <c r="I639" s="33"/>
      <c r="J639" s="33"/>
      <c r="K639" s="33"/>
    </row>
    <row r="640">
      <c r="A640" s="33" t="str">
        <f>IFERROR(__xludf.DUMMYFUNCTION("""COMPUTED_VALUE"""),"Debt")</f>
        <v>Debt</v>
      </c>
      <c r="B640" s="33" t="str">
        <f>IFERROR(__xludf.DUMMYFUNCTION("""COMPUTED_VALUE"""),"Groceries")</f>
        <v>Groceries</v>
      </c>
      <c r="C640" s="33" t="str">
        <f>IFERROR(__xludf.DUMMYFUNCTION("""COMPUTED_VALUE"""),"Healthcare")</f>
        <v>Healthcare</v>
      </c>
      <c r="D640" s="33" t="str">
        <f>IFERROR(__xludf.DUMMYFUNCTION("""COMPUTED_VALUE"""),"Household Items")</f>
        <v>Household Items</v>
      </c>
      <c r="E640" s="33" t="str">
        <f>IFERROR(__xludf.DUMMYFUNCTION("""COMPUTED_VALUE"""),"Housing")</f>
        <v>Housing</v>
      </c>
      <c r="F640" s="33" t="str">
        <f>IFERROR(__xludf.DUMMYFUNCTION("""COMPUTED_VALUE"""),"Miscellaneous")</f>
        <v>Miscellaneous</v>
      </c>
      <c r="G640" s="33" t="str">
        <f>IFERROR(__xludf.DUMMYFUNCTION("""COMPUTED_VALUE"""),"Pet")</f>
        <v>Pet</v>
      </c>
      <c r="H640" s="33" t="str">
        <f>IFERROR(__xludf.DUMMYFUNCTION("""COMPUTED_VALUE"""),"Transportation")</f>
        <v>Transportation</v>
      </c>
      <c r="I640" s="33"/>
      <c r="J640" s="33"/>
      <c r="K640" s="33"/>
    </row>
    <row r="641">
      <c r="A641" s="33" t="str">
        <f>IFERROR(__xludf.DUMMYFUNCTION("""COMPUTED_VALUE"""),"Debt")</f>
        <v>Debt</v>
      </c>
      <c r="B641" s="33" t="str">
        <f>IFERROR(__xludf.DUMMYFUNCTION("""COMPUTED_VALUE"""),"Groceries")</f>
        <v>Groceries</v>
      </c>
      <c r="C641" s="33" t="str">
        <f>IFERROR(__xludf.DUMMYFUNCTION("""COMPUTED_VALUE"""),"Healthcare")</f>
        <v>Healthcare</v>
      </c>
      <c r="D641" s="33" t="str">
        <f>IFERROR(__xludf.DUMMYFUNCTION("""COMPUTED_VALUE"""),"Household Items")</f>
        <v>Household Items</v>
      </c>
      <c r="E641" s="33" t="str">
        <f>IFERROR(__xludf.DUMMYFUNCTION("""COMPUTED_VALUE"""),"Housing")</f>
        <v>Housing</v>
      </c>
      <c r="F641" s="33" t="str">
        <f>IFERROR(__xludf.DUMMYFUNCTION("""COMPUTED_VALUE"""),"Miscellaneous")</f>
        <v>Miscellaneous</v>
      </c>
      <c r="G641" s="33" t="str">
        <f>IFERROR(__xludf.DUMMYFUNCTION("""COMPUTED_VALUE"""),"Pet")</f>
        <v>Pet</v>
      </c>
      <c r="H641" s="33" t="str">
        <f>IFERROR(__xludf.DUMMYFUNCTION("""COMPUTED_VALUE"""),"Transportation")</f>
        <v>Transportation</v>
      </c>
      <c r="I641" s="33"/>
      <c r="J641" s="33"/>
      <c r="K641" s="33"/>
    </row>
    <row r="642">
      <c r="A642" s="33" t="str">
        <f>IFERROR(__xludf.DUMMYFUNCTION("""COMPUTED_VALUE"""),"Cashback")</f>
        <v>Cashback</v>
      </c>
      <c r="B642" s="33" t="str">
        <f>IFERROR(__xludf.DUMMYFUNCTION("""COMPUTED_VALUE"""),"Investment Returns")</f>
        <v>Investment Returns</v>
      </c>
      <c r="C642" s="33" t="str">
        <f>IFERROR(__xludf.DUMMYFUNCTION("""COMPUTED_VALUE"""),"Paycheck")</f>
        <v>Paycheck</v>
      </c>
      <c r="D642" s="33" t="str">
        <f>IFERROR(__xludf.DUMMYFUNCTION("""COMPUTED_VALUE"""),"Reimbursement")</f>
        <v>Reimbursement</v>
      </c>
      <c r="E642" s="33" t="str">
        <f>IFERROR(__xludf.DUMMYFUNCTION("""COMPUTED_VALUE"""),"Rewards")</f>
        <v>Rewards</v>
      </c>
      <c r="F642" s="33"/>
      <c r="G642" s="33"/>
      <c r="H642" s="33"/>
      <c r="I642" s="33"/>
      <c r="J642" s="33"/>
      <c r="K642" s="33"/>
    </row>
    <row r="643">
      <c r="A643" s="33" t="str">
        <f>IFERROR(__xludf.DUMMYFUNCTION("""COMPUTED_VALUE"""),"Cashback")</f>
        <v>Cashback</v>
      </c>
      <c r="B643" s="33" t="str">
        <f>IFERROR(__xludf.DUMMYFUNCTION("""COMPUTED_VALUE"""),"Investment Returns")</f>
        <v>Investment Returns</v>
      </c>
      <c r="C643" s="33" t="str">
        <f>IFERROR(__xludf.DUMMYFUNCTION("""COMPUTED_VALUE"""),"Paycheck")</f>
        <v>Paycheck</v>
      </c>
      <c r="D643" s="33" t="str">
        <f>IFERROR(__xludf.DUMMYFUNCTION("""COMPUTED_VALUE"""),"Reimbursement")</f>
        <v>Reimbursement</v>
      </c>
      <c r="E643" s="33" t="str">
        <f>IFERROR(__xludf.DUMMYFUNCTION("""COMPUTED_VALUE"""),"Rewards")</f>
        <v>Rewards</v>
      </c>
      <c r="F643" s="33"/>
      <c r="G643" s="33"/>
      <c r="H643" s="33"/>
      <c r="I643" s="33"/>
      <c r="J643" s="33"/>
      <c r="K643" s="33"/>
    </row>
    <row r="644">
      <c r="A644" s="33" t="str">
        <f>IFERROR(__xludf.DUMMYFUNCTION("""COMPUTED_VALUE"""),"Cashback")</f>
        <v>Cashback</v>
      </c>
      <c r="B644" s="33" t="str">
        <f>IFERROR(__xludf.DUMMYFUNCTION("""COMPUTED_VALUE"""),"Investment Returns")</f>
        <v>Investment Returns</v>
      </c>
      <c r="C644" s="33" t="str">
        <f>IFERROR(__xludf.DUMMYFUNCTION("""COMPUTED_VALUE"""),"Paycheck")</f>
        <v>Paycheck</v>
      </c>
      <c r="D644" s="33" t="str">
        <f>IFERROR(__xludf.DUMMYFUNCTION("""COMPUTED_VALUE"""),"Reimbursement")</f>
        <v>Reimbursement</v>
      </c>
      <c r="E644" s="33" t="str">
        <f>IFERROR(__xludf.DUMMYFUNCTION("""COMPUTED_VALUE"""),"Rewards")</f>
        <v>Rewards</v>
      </c>
      <c r="F644" s="33"/>
      <c r="G644" s="33"/>
      <c r="H644" s="33"/>
      <c r="I644" s="33"/>
      <c r="J644" s="33"/>
      <c r="K644" s="33"/>
    </row>
    <row r="645">
      <c r="A645" s="33" t="str">
        <f>IFERROR(__xludf.DUMMYFUNCTION("""COMPUTED_VALUE"""),"Cashback")</f>
        <v>Cashback</v>
      </c>
      <c r="B645" s="33" t="str">
        <f>IFERROR(__xludf.DUMMYFUNCTION("""COMPUTED_VALUE"""),"Investment Returns")</f>
        <v>Investment Returns</v>
      </c>
      <c r="C645" s="33" t="str">
        <f>IFERROR(__xludf.DUMMYFUNCTION("""COMPUTED_VALUE"""),"Paycheck")</f>
        <v>Paycheck</v>
      </c>
      <c r="D645" s="33" t="str">
        <f>IFERROR(__xludf.DUMMYFUNCTION("""COMPUTED_VALUE"""),"Reimbursement")</f>
        <v>Reimbursement</v>
      </c>
      <c r="E645" s="33" t="str">
        <f>IFERROR(__xludf.DUMMYFUNCTION("""COMPUTED_VALUE"""),"Rewards")</f>
        <v>Rewards</v>
      </c>
      <c r="F645" s="33"/>
      <c r="G645" s="33"/>
      <c r="H645" s="33"/>
      <c r="I645" s="33"/>
      <c r="J645" s="33"/>
      <c r="K645" s="33"/>
    </row>
    <row r="646">
      <c r="A646" s="33" t="str">
        <f>IFERROR(__xludf.DUMMYFUNCTION("""COMPUTED_VALUE"""),"Deposit")</f>
        <v>Deposit</v>
      </c>
      <c r="B646" s="33" t="str">
        <f>IFERROR(__xludf.DUMMYFUNCTION("""COMPUTED_VALUE"""),"Withdrawal")</f>
        <v>Withdrawal</v>
      </c>
      <c r="C646" s="33"/>
      <c r="D646" s="33"/>
      <c r="E646" s="33"/>
      <c r="F646" s="33"/>
      <c r="G646" s="33"/>
      <c r="H646" s="33"/>
      <c r="I646" s="33"/>
      <c r="J646" s="33"/>
      <c r="K646" s="33"/>
    </row>
    <row r="647">
      <c r="A647" s="33" t="str">
        <f>IFERROR(__xludf.DUMMYFUNCTION("""COMPUTED_VALUE"""),"Car Fund")</f>
        <v>Car Fund</v>
      </c>
      <c r="B647" s="33" t="str">
        <f>IFERROR(__xludf.DUMMYFUNCTION("""COMPUTED_VALUE"""),"Emergency Fund")</f>
        <v>Emergency Fund</v>
      </c>
      <c r="C647" s="33" t="str">
        <f>IFERROR(__xludf.DUMMYFUNCTION("""COMPUTED_VALUE"""),"Family Fund")</f>
        <v>Family Fund</v>
      </c>
      <c r="D647" s="33" t="str">
        <f>IFERROR(__xludf.DUMMYFUNCTION("""COMPUTED_VALUE"""),"Kenji Fund")</f>
        <v>Kenji Fund</v>
      </c>
      <c r="E647" s="33" t="str">
        <f>IFERROR(__xludf.DUMMYFUNCTION("""COMPUTED_VALUE"""),"Mei Fund")</f>
        <v>Mei Fund</v>
      </c>
      <c r="F647" s="33" t="str">
        <f>IFERROR(__xludf.DUMMYFUNCTION("""COMPUTED_VALUE"""),"Pet Fund")</f>
        <v>Pet Fund</v>
      </c>
      <c r="G647" s="33" t="str">
        <f>IFERROR(__xludf.DUMMYFUNCTION("""COMPUTED_VALUE"""),"Vacation Fund")</f>
        <v>Vacation Fund</v>
      </c>
      <c r="H647" s="33"/>
      <c r="I647" s="33"/>
      <c r="J647" s="33"/>
      <c r="K647" s="33"/>
    </row>
    <row r="648">
      <c r="A648" s="33" t="str">
        <f>IFERROR(__xludf.DUMMYFUNCTION("""COMPUTED_VALUE"""),"Deposit")</f>
        <v>Deposit</v>
      </c>
      <c r="B648" s="33" t="str">
        <f>IFERROR(__xludf.DUMMYFUNCTION("""COMPUTED_VALUE"""),"Withdrawal")</f>
        <v>Withdrawal</v>
      </c>
      <c r="C648" s="33"/>
      <c r="D648" s="33"/>
      <c r="E648" s="33"/>
      <c r="F648" s="33"/>
      <c r="G648" s="33"/>
      <c r="H648" s="33"/>
      <c r="I648" s="33"/>
      <c r="J648" s="33"/>
      <c r="K648" s="33"/>
    </row>
    <row r="649">
      <c r="A649" s="33" t="str">
        <f>IFERROR(__xludf.DUMMYFUNCTION("""COMPUTED_VALUE"""),"Deposit")</f>
        <v>Deposit</v>
      </c>
      <c r="B649" s="33" t="str">
        <f>IFERROR(__xludf.DUMMYFUNCTION("""COMPUTED_VALUE"""),"Withdrawal")</f>
        <v>Withdrawal</v>
      </c>
      <c r="C649" s="33"/>
      <c r="D649" s="33"/>
      <c r="E649" s="33"/>
      <c r="F649" s="33"/>
      <c r="G649" s="33"/>
      <c r="H649" s="33"/>
      <c r="I649" s="33"/>
      <c r="J649" s="33"/>
      <c r="K649" s="33"/>
    </row>
    <row r="650">
      <c r="A650" s="33" t="str">
        <f>IFERROR(__xludf.DUMMYFUNCTION("""COMPUTED_VALUE"""),"Deposit")</f>
        <v>Deposit</v>
      </c>
      <c r="B650" s="33" t="str">
        <f>IFERROR(__xludf.DUMMYFUNCTION("""COMPUTED_VALUE"""),"Withdrawal")</f>
        <v>Withdrawal</v>
      </c>
      <c r="C650" s="33"/>
      <c r="D650" s="33"/>
      <c r="E650" s="33"/>
      <c r="F650" s="33"/>
      <c r="G650" s="33"/>
      <c r="H650" s="33"/>
      <c r="I650" s="33"/>
      <c r="J650" s="33"/>
      <c r="K650" s="33"/>
    </row>
    <row r="651">
      <c r="A651" s="33" t="str">
        <f>IFERROR(__xludf.DUMMYFUNCTION("""COMPUTED_VALUE"""),"Deposit")</f>
        <v>Deposit</v>
      </c>
      <c r="B651" s="33" t="str">
        <f>IFERROR(__xludf.DUMMYFUNCTION("""COMPUTED_VALUE"""),"Withdrawal")</f>
        <v>Withdrawal</v>
      </c>
      <c r="C651" s="33"/>
      <c r="D651" s="33"/>
      <c r="E651" s="33"/>
      <c r="F651" s="33"/>
      <c r="G651" s="33"/>
      <c r="H651" s="33"/>
      <c r="I651" s="33"/>
      <c r="J651" s="33"/>
      <c r="K651" s="33"/>
    </row>
    <row r="652">
      <c r="A652" s="33" t="str">
        <f>IFERROR(__xludf.DUMMYFUNCTION("""COMPUTED_VALUE"""),"Debt")</f>
        <v>Debt</v>
      </c>
      <c r="B652" s="33" t="str">
        <f>IFERROR(__xludf.DUMMYFUNCTION("""COMPUTED_VALUE"""),"Groceries")</f>
        <v>Groceries</v>
      </c>
      <c r="C652" s="33" t="str">
        <f>IFERROR(__xludf.DUMMYFUNCTION("""COMPUTED_VALUE"""),"Healthcare")</f>
        <v>Healthcare</v>
      </c>
      <c r="D652" s="33" t="str">
        <f>IFERROR(__xludf.DUMMYFUNCTION("""COMPUTED_VALUE"""),"Household Items")</f>
        <v>Household Items</v>
      </c>
      <c r="E652" s="33" t="str">
        <f>IFERROR(__xludf.DUMMYFUNCTION("""COMPUTED_VALUE"""),"Housing")</f>
        <v>Housing</v>
      </c>
      <c r="F652" s="33" t="str">
        <f>IFERROR(__xludf.DUMMYFUNCTION("""COMPUTED_VALUE"""),"Miscellaneous")</f>
        <v>Miscellaneous</v>
      </c>
      <c r="G652" s="33" t="str">
        <f>IFERROR(__xludf.DUMMYFUNCTION("""COMPUTED_VALUE"""),"Pet")</f>
        <v>Pet</v>
      </c>
      <c r="H652" s="33" t="str">
        <f>IFERROR(__xludf.DUMMYFUNCTION("""COMPUTED_VALUE"""),"Transportation")</f>
        <v>Transportation</v>
      </c>
      <c r="I652" s="33"/>
      <c r="J652" s="33"/>
      <c r="K652" s="33"/>
    </row>
    <row r="653">
      <c r="A653" s="33" t="str">
        <f>IFERROR(__xludf.DUMMYFUNCTION("""COMPUTED_VALUE"""),"Debt")</f>
        <v>Debt</v>
      </c>
      <c r="B653" s="33" t="str">
        <f>IFERROR(__xludf.DUMMYFUNCTION("""COMPUTED_VALUE"""),"Groceries")</f>
        <v>Groceries</v>
      </c>
      <c r="C653" s="33" t="str">
        <f>IFERROR(__xludf.DUMMYFUNCTION("""COMPUTED_VALUE"""),"Healthcare")</f>
        <v>Healthcare</v>
      </c>
      <c r="D653" s="33" t="str">
        <f>IFERROR(__xludf.DUMMYFUNCTION("""COMPUTED_VALUE"""),"Household Items")</f>
        <v>Household Items</v>
      </c>
      <c r="E653" s="33" t="str">
        <f>IFERROR(__xludf.DUMMYFUNCTION("""COMPUTED_VALUE"""),"Housing")</f>
        <v>Housing</v>
      </c>
      <c r="F653" s="33" t="str">
        <f>IFERROR(__xludf.DUMMYFUNCTION("""COMPUTED_VALUE"""),"Miscellaneous")</f>
        <v>Miscellaneous</v>
      </c>
      <c r="G653" s="33" t="str">
        <f>IFERROR(__xludf.DUMMYFUNCTION("""COMPUTED_VALUE"""),"Pet")</f>
        <v>Pet</v>
      </c>
      <c r="H653" s="33" t="str">
        <f>IFERROR(__xludf.DUMMYFUNCTION("""COMPUTED_VALUE"""),"Transportation")</f>
        <v>Transportation</v>
      </c>
      <c r="I653" s="33"/>
      <c r="J653" s="33"/>
      <c r="K653" s="33"/>
    </row>
    <row r="654">
      <c r="A654" s="33" t="str">
        <f>IFERROR(__xludf.DUMMYFUNCTION("""COMPUTED_VALUE"""),"Debt")</f>
        <v>Debt</v>
      </c>
      <c r="B654" s="33" t="str">
        <f>IFERROR(__xludf.DUMMYFUNCTION("""COMPUTED_VALUE"""),"Groceries")</f>
        <v>Groceries</v>
      </c>
      <c r="C654" s="33" t="str">
        <f>IFERROR(__xludf.DUMMYFUNCTION("""COMPUTED_VALUE"""),"Healthcare")</f>
        <v>Healthcare</v>
      </c>
      <c r="D654" s="33" t="str">
        <f>IFERROR(__xludf.DUMMYFUNCTION("""COMPUTED_VALUE"""),"Household Items")</f>
        <v>Household Items</v>
      </c>
      <c r="E654" s="33" t="str">
        <f>IFERROR(__xludf.DUMMYFUNCTION("""COMPUTED_VALUE"""),"Housing")</f>
        <v>Housing</v>
      </c>
      <c r="F654" s="33" t="str">
        <f>IFERROR(__xludf.DUMMYFUNCTION("""COMPUTED_VALUE"""),"Miscellaneous")</f>
        <v>Miscellaneous</v>
      </c>
      <c r="G654" s="33" t="str">
        <f>IFERROR(__xludf.DUMMYFUNCTION("""COMPUTED_VALUE"""),"Pet")</f>
        <v>Pet</v>
      </c>
      <c r="H654" s="33" t="str">
        <f>IFERROR(__xludf.DUMMYFUNCTION("""COMPUTED_VALUE"""),"Transportation")</f>
        <v>Transportation</v>
      </c>
      <c r="I654" s="33"/>
      <c r="J654" s="33"/>
      <c r="K654" s="33"/>
    </row>
    <row r="655">
      <c r="A655" s="33" t="str">
        <f>IFERROR(__xludf.DUMMYFUNCTION("""COMPUTED_VALUE"""),"Debt")</f>
        <v>Debt</v>
      </c>
      <c r="B655" s="33" t="str">
        <f>IFERROR(__xludf.DUMMYFUNCTION("""COMPUTED_VALUE"""),"Groceries")</f>
        <v>Groceries</v>
      </c>
      <c r="C655" s="33" t="str">
        <f>IFERROR(__xludf.DUMMYFUNCTION("""COMPUTED_VALUE"""),"Healthcare")</f>
        <v>Healthcare</v>
      </c>
      <c r="D655" s="33" t="str">
        <f>IFERROR(__xludf.DUMMYFUNCTION("""COMPUTED_VALUE"""),"Household Items")</f>
        <v>Household Items</v>
      </c>
      <c r="E655" s="33" t="str">
        <f>IFERROR(__xludf.DUMMYFUNCTION("""COMPUTED_VALUE"""),"Housing")</f>
        <v>Housing</v>
      </c>
      <c r="F655" s="33" t="str">
        <f>IFERROR(__xludf.DUMMYFUNCTION("""COMPUTED_VALUE"""),"Miscellaneous")</f>
        <v>Miscellaneous</v>
      </c>
      <c r="G655" s="33" t="str">
        <f>IFERROR(__xludf.DUMMYFUNCTION("""COMPUTED_VALUE"""),"Pet")</f>
        <v>Pet</v>
      </c>
      <c r="H655" s="33" t="str">
        <f>IFERROR(__xludf.DUMMYFUNCTION("""COMPUTED_VALUE"""),"Transportation")</f>
        <v>Transportation</v>
      </c>
      <c r="I655" s="33"/>
      <c r="J655" s="33"/>
      <c r="K655" s="33"/>
    </row>
    <row r="656">
      <c r="A656" s="33" t="str">
        <f>IFERROR(__xludf.DUMMYFUNCTION("""COMPUTED_VALUE"""),"Dining Out")</f>
        <v>Dining Out</v>
      </c>
      <c r="B656" s="33" t="str">
        <f>IFERROR(__xludf.DUMMYFUNCTION("""COMPUTED_VALUE"""),"Entertainment")</f>
        <v>Entertainment</v>
      </c>
      <c r="C656" s="33" t="str">
        <f>IFERROR(__xludf.DUMMYFUNCTION("""COMPUTED_VALUE"""),"Gaming")</f>
        <v>Gaming</v>
      </c>
      <c r="D656" s="33" t="str">
        <f>IFERROR(__xludf.DUMMYFUNCTION("""COMPUTED_VALUE"""),"Gifts")</f>
        <v>Gifts</v>
      </c>
      <c r="E656" s="33" t="str">
        <f>IFERROR(__xludf.DUMMYFUNCTION("""COMPUTED_VALUE"""),"Groceries")</f>
        <v>Groceries</v>
      </c>
      <c r="F656" s="33" t="str">
        <f>IFERROR(__xludf.DUMMYFUNCTION("""COMPUTED_VALUE"""),"Healthcare")</f>
        <v>Healthcare</v>
      </c>
      <c r="G656" s="33" t="str">
        <f>IFERROR(__xludf.DUMMYFUNCTION("""COMPUTED_VALUE"""),"Hobbies")</f>
        <v>Hobbies</v>
      </c>
      <c r="H656" s="33" t="str">
        <f>IFERROR(__xludf.DUMMYFUNCTION("""COMPUTED_VALUE"""),"Household Items")</f>
        <v>Household Items</v>
      </c>
      <c r="I656" s="33" t="str">
        <f>IFERROR(__xludf.DUMMYFUNCTION("""COMPUTED_VALUE"""),"Subscriptions")</f>
        <v>Subscriptions</v>
      </c>
      <c r="J656" s="33" t="str">
        <f>IFERROR(__xludf.DUMMYFUNCTION("""COMPUTED_VALUE"""),"Transportation")</f>
        <v>Transportation</v>
      </c>
      <c r="K656" s="33" t="str">
        <f>IFERROR(__xludf.DUMMYFUNCTION("""COMPUTED_VALUE"""),"Travel")</f>
        <v>Travel</v>
      </c>
    </row>
    <row r="657">
      <c r="A657" s="33" t="str">
        <f>IFERROR(__xludf.DUMMYFUNCTION("""COMPUTED_VALUE"""),"Debt")</f>
        <v>Debt</v>
      </c>
      <c r="B657" s="33" t="str">
        <f>IFERROR(__xludf.DUMMYFUNCTION("""COMPUTED_VALUE"""),"Groceries")</f>
        <v>Groceries</v>
      </c>
      <c r="C657" s="33" t="str">
        <f>IFERROR(__xludf.DUMMYFUNCTION("""COMPUTED_VALUE"""),"Healthcare")</f>
        <v>Healthcare</v>
      </c>
      <c r="D657" s="33" t="str">
        <f>IFERROR(__xludf.DUMMYFUNCTION("""COMPUTED_VALUE"""),"Household Items")</f>
        <v>Household Items</v>
      </c>
      <c r="E657" s="33" t="str">
        <f>IFERROR(__xludf.DUMMYFUNCTION("""COMPUTED_VALUE"""),"Housing")</f>
        <v>Housing</v>
      </c>
      <c r="F657" s="33" t="str">
        <f>IFERROR(__xludf.DUMMYFUNCTION("""COMPUTED_VALUE"""),"Miscellaneous")</f>
        <v>Miscellaneous</v>
      </c>
      <c r="G657" s="33" t="str">
        <f>IFERROR(__xludf.DUMMYFUNCTION("""COMPUTED_VALUE"""),"Pet")</f>
        <v>Pet</v>
      </c>
      <c r="H657" s="33" t="str">
        <f>IFERROR(__xludf.DUMMYFUNCTION("""COMPUTED_VALUE"""),"Transportation")</f>
        <v>Transportation</v>
      </c>
      <c r="I657" s="33"/>
      <c r="J657" s="33"/>
      <c r="K657" s="33"/>
    </row>
    <row r="658">
      <c r="A658" s="33" t="str">
        <f>IFERROR(__xludf.DUMMYFUNCTION("""COMPUTED_VALUE"""),"Debt")</f>
        <v>Debt</v>
      </c>
      <c r="B658" s="33" t="str">
        <f>IFERROR(__xludf.DUMMYFUNCTION("""COMPUTED_VALUE"""),"Groceries")</f>
        <v>Groceries</v>
      </c>
      <c r="C658" s="33" t="str">
        <f>IFERROR(__xludf.DUMMYFUNCTION("""COMPUTED_VALUE"""),"Healthcare")</f>
        <v>Healthcare</v>
      </c>
      <c r="D658" s="33" t="str">
        <f>IFERROR(__xludf.DUMMYFUNCTION("""COMPUTED_VALUE"""),"Household Items")</f>
        <v>Household Items</v>
      </c>
      <c r="E658" s="33" t="str">
        <f>IFERROR(__xludf.DUMMYFUNCTION("""COMPUTED_VALUE"""),"Housing")</f>
        <v>Housing</v>
      </c>
      <c r="F658" s="33" t="str">
        <f>IFERROR(__xludf.DUMMYFUNCTION("""COMPUTED_VALUE"""),"Miscellaneous")</f>
        <v>Miscellaneous</v>
      </c>
      <c r="G658" s="33" t="str">
        <f>IFERROR(__xludf.DUMMYFUNCTION("""COMPUTED_VALUE"""),"Pet")</f>
        <v>Pet</v>
      </c>
      <c r="H658" s="33" t="str">
        <f>IFERROR(__xludf.DUMMYFUNCTION("""COMPUTED_VALUE"""),"Transportation")</f>
        <v>Transportation</v>
      </c>
      <c r="I658" s="33"/>
      <c r="J658" s="33"/>
      <c r="K658" s="33"/>
    </row>
    <row r="659">
      <c r="A659" s="33" t="str">
        <f>IFERROR(__xludf.DUMMYFUNCTION("""COMPUTED_VALUE"""),"Debt")</f>
        <v>Debt</v>
      </c>
      <c r="B659" s="33" t="str">
        <f>IFERROR(__xludf.DUMMYFUNCTION("""COMPUTED_VALUE"""),"Groceries")</f>
        <v>Groceries</v>
      </c>
      <c r="C659" s="33" t="str">
        <f>IFERROR(__xludf.DUMMYFUNCTION("""COMPUTED_VALUE"""),"Healthcare")</f>
        <v>Healthcare</v>
      </c>
      <c r="D659" s="33" t="str">
        <f>IFERROR(__xludf.DUMMYFUNCTION("""COMPUTED_VALUE"""),"Household Items")</f>
        <v>Household Items</v>
      </c>
      <c r="E659" s="33" t="str">
        <f>IFERROR(__xludf.DUMMYFUNCTION("""COMPUTED_VALUE"""),"Housing")</f>
        <v>Housing</v>
      </c>
      <c r="F659" s="33" t="str">
        <f>IFERROR(__xludf.DUMMYFUNCTION("""COMPUTED_VALUE"""),"Miscellaneous")</f>
        <v>Miscellaneous</v>
      </c>
      <c r="G659" s="33" t="str">
        <f>IFERROR(__xludf.DUMMYFUNCTION("""COMPUTED_VALUE"""),"Pet")</f>
        <v>Pet</v>
      </c>
      <c r="H659" s="33" t="str">
        <f>IFERROR(__xludf.DUMMYFUNCTION("""COMPUTED_VALUE"""),"Transportation")</f>
        <v>Transportation</v>
      </c>
      <c r="I659" s="33"/>
      <c r="J659" s="33"/>
      <c r="K659" s="33"/>
    </row>
    <row r="660">
      <c r="A660" s="33" t="str">
        <f>IFERROR(__xludf.DUMMYFUNCTION("""COMPUTED_VALUE"""),"Debt")</f>
        <v>Debt</v>
      </c>
      <c r="B660" s="33" t="str">
        <f>IFERROR(__xludf.DUMMYFUNCTION("""COMPUTED_VALUE"""),"Groceries")</f>
        <v>Groceries</v>
      </c>
      <c r="C660" s="33" t="str">
        <f>IFERROR(__xludf.DUMMYFUNCTION("""COMPUTED_VALUE"""),"Healthcare")</f>
        <v>Healthcare</v>
      </c>
      <c r="D660" s="33" t="str">
        <f>IFERROR(__xludf.DUMMYFUNCTION("""COMPUTED_VALUE"""),"Household Items")</f>
        <v>Household Items</v>
      </c>
      <c r="E660" s="33" t="str">
        <f>IFERROR(__xludf.DUMMYFUNCTION("""COMPUTED_VALUE"""),"Housing")</f>
        <v>Housing</v>
      </c>
      <c r="F660" s="33" t="str">
        <f>IFERROR(__xludf.DUMMYFUNCTION("""COMPUTED_VALUE"""),"Miscellaneous")</f>
        <v>Miscellaneous</v>
      </c>
      <c r="G660" s="33" t="str">
        <f>IFERROR(__xludf.DUMMYFUNCTION("""COMPUTED_VALUE"""),"Pet")</f>
        <v>Pet</v>
      </c>
      <c r="H660" s="33" t="str">
        <f>IFERROR(__xludf.DUMMYFUNCTION("""COMPUTED_VALUE"""),"Transportation")</f>
        <v>Transportation</v>
      </c>
      <c r="I660" s="33"/>
      <c r="J660" s="33"/>
      <c r="K660" s="33"/>
    </row>
    <row r="661">
      <c r="A661" s="33" t="str">
        <f>IFERROR(__xludf.DUMMYFUNCTION("""COMPUTED_VALUE"""),"Debt")</f>
        <v>Debt</v>
      </c>
      <c r="B661" s="33" t="str">
        <f>IFERROR(__xludf.DUMMYFUNCTION("""COMPUTED_VALUE"""),"Groceries")</f>
        <v>Groceries</v>
      </c>
      <c r="C661" s="33" t="str">
        <f>IFERROR(__xludf.DUMMYFUNCTION("""COMPUTED_VALUE"""),"Healthcare")</f>
        <v>Healthcare</v>
      </c>
      <c r="D661" s="33" t="str">
        <f>IFERROR(__xludf.DUMMYFUNCTION("""COMPUTED_VALUE"""),"Household Items")</f>
        <v>Household Items</v>
      </c>
      <c r="E661" s="33" t="str">
        <f>IFERROR(__xludf.DUMMYFUNCTION("""COMPUTED_VALUE"""),"Housing")</f>
        <v>Housing</v>
      </c>
      <c r="F661" s="33" t="str">
        <f>IFERROR(__xludf.DUMMYFUNCTION("""COMPUTED_VALUE"""),"Miscellaneous")</f>
        <v>Miscellaneous</v>
      </c>
      <c r="G661" s="33" t="str">
        <f>IFERROR(__xludf.DUMMYFUNCTION("""COMPUTED_VALUE"""),"Pet")</f>
        <v>Pet</v>
      </c>
      <c r="H661" s="33" t="str">
        <f>IFERROR(__xludf.DUMMYFUNCTION("""COMPUTED_VALUE"""),"Transportation")</f>
        <v>Transportation</v>
      </c>
      <c r="I661" s="33"/>
      <c r="J661" s="33"/>
      <c r="K661" s="33"/>
    </row>
    <row r="662">
      <c r="A662" s="33" t="str">
        <f>IFERROR(__xludf.DUMMYFUNCTION("""COMPUTED_VALUE"""),"Debt")</f>
        <v>Debt</v>
      </c>
      <c r="B662" s="33" t="str">
        <f>IFERROR(__xludf.DUMMYFUNCTION("""COMPUTED_VALUE"""),"Groceries")</f>
        <v>Groceries</v>
      </c>
      <c r="C662" s="33" t="str">
        <f>IFERROR(__xludf.DUMMYFUNCTION("""COMPUTED_VALUE"""),"Healthcare")</f>
        <v>Healthcare</v>
      </c>
      <c r="D662" s="33" t="str">
        <f>IFERROR(__xludf.DUMMYFUNCTION("""COMPUTED_VALUE"""),"Household Items")</f>
        <v>Household Items</v>
      </c>
      <c r="E662" s="33" t="str">
        <f>IFERROR(__xludf.DUMMYFUNCTION("""COMPUTED_VALUE"""),"Housing")</f>
        <v>Housing</v>
      </c>
      <c r="F662" s="33" t="str">
        <f>IFERROR(__xludf.DUMMYFUNCTION("""COMPUTED_VALUE"""),"Miscellaneous")</f>
        <v>Miscellaneous</v>
      </c>
      <c r="G662" s="33" t="str">
        <f>IFERROR(__xludf.DUMMYFUNCTION("""COMPUTED_VALUE"""),"Pet")</f>
        <v>Pet</v>
      </c>
      <c r="H662" s="33" t="str">
        <f>IFERROR(__xludf.DUMMYFUNCTION("""COMPUTED_VALUE"""),"Transportation")</f>
        <v>Transportation</v>
      </c>
      <c r="I662" s="33"/>
      <c r="J662" s="33"/>
      <c r="K662" s="33"/>
    </row>
    <row r="663">
      <c r="A663" s="33" t="str">
        <f>IFERROR(__xludf.DUMMYFUNCTION("""COMPUTED_VALUE"""),"Debt")</f>
        <v>Debt</v>
      </c>
      <c r="B663" s="33" t="str">
        <f>IFERROR(__xludf.DUMMYFUNCTION("""COMPUTED_VALUE"""),"Groceries")</f>
        <v>Groceries</v>
      </c>
      <c r="C663" s="33" t="str">
        <f>IFERROR(__xludf.DUMMYFUNCTION("""COMPUTED_VALUE"""),"Healthcare")</f>
        <v>Healthcare</v>
      </c>
      <c r="D663" s="33" t="str">
        <f>IFERROR(__xludf.DUMMYFUNCTION("""COMPUTED_VALUE"""),"Household Items")</f>
        <v>Household Items</v>
      </c>
      <c r="E663" s="33" t="str">
        <f>IFERROR(__xludf.DUMMYFUNCTION("""COMPUTED_VALUE"""),"Housing")</f>
        <v>Housing</v>
      </c>
      <c r="F663" s="33" t="str">
        <f>IFERROR(__xludf.DUMMYFUNCTION("""COMPUTED_VALUE"""),"Miscellaneous")</f>
        <v>Miscellaneous</v>
      </c>
      <c r="G663" s="33" t="str">
        <f>IFERROR(__xludf.DUMMYFUNCTION("""COMPUTED_VALUE"""),"Pet")</f>
        <v>Pet</v>
      </c>
      <c r="H663" s="33" t="str">
        <f>IFERROR(__xludf.DUMMYFUNCTION("""COMPUTED_VALUE"""),"Transportation")</f>
        <v>Transportation</v>
      </c>
      <c r="I663" s="33"/>
      <c r="J663" s="33"/>
      <c r="K663" s="33"/>
    </row>
    <row r="664">
      <c r="A664" s="33" t="str">
        <f>IFERROR(__xludf.DUMMYFUNCTION("""COMPUTED_VALUE"""),"Debt")</f>
        <v>Debt</v>
      </c>
      <c r="B664" s="33" t="str">
        <f>IFERROR(__xludf.DUMMYFUNCTION("""COMPUTED_VALUE"""),"Groceries")</f>
        <v>Groceries</v>
      </c>
      <c r="C664" s="33" t="str">
        <f>IFERROR(__xludf.DUMMYFUNCTION("""COMPUTED_VALUE"""),"Healthcare")</f>
        <v>Healthcare</v>
      </c>
      <c r="D664" s="33" t="str">
        <f>IFERROR(__xludf.DUMMYFUNCTION("""COMPUTED_VALUE"""),"Household Items")</f>
        <v>Household Items</v>
      </c>
      <c r="E664" s="33" t="str">
        <f>IFERROR(__xludf.DUMMYFUNCTION("""COMPUTED_VALUE"""),"Housing")</f>
        <v>Housing</v>
      </c>
      <c r="F664" s="33" t="str">
        <f>IFERROR(__xludf.DUMMYFUNCTION("""COMPUTED_VALUE"""),"Miscellaneous")</f>
        <v>Miscellaneous</v>
      </c>
      <c r="G664" s="33" t="str">
        <f>IFERROR(__xludf.DUMMYFUNCTION("""COMPUTED_VALUE"""),"Pet")</f>
        <v>Pet</v>
      </c>
      <c r="H664" s="33" t="str">
        <f>IFERROR(__xludf.DUMMYFUNCTION("""COMPUTED_VALUE"""),"Transportation")</f>
        <v>Transportation</v>
      </c>
      <c r="I664" s="33"/>
      <c r="J664" s="33"/>
      <c r="K664" s="33"/>
    </row>
    <row r="665">
      <c r="A665" s="33" t="str">
        <f>IFERROR(__xludf.DUMMYFUNCTION("""COMPUTED_VALUE"""),"Debt")</f>
        <v>Debt</v>
      </c>
      <c r="B665" s="33" t="str">
        <f>IFERROR(__xludf.DUMMYFUNCTION("""COMPUTED_VALUE"""),"Groceries")</f>
        <v>Groceries</v>
      </c>
      <c r="C665" s="33" t="str">
        <f>IFERROR(__xludf.DUMMYFUNCTION("""COMPUTED_VALUE"""),"Healthcare")</f>
        <v>Healthcare</v>
      </c>
      <c r="D665" s="33" t="str">
        <f>IFERROR(__xludf.DUMMYFUNCTION("""COMPUTED_VALUE"""),"Household Items")</f>
        <v>Household Items</v>
      </c>
      <c r="E665" s="33" t="str">
        <f>IFERROR(__xludf.DUMMYFUNCTION("""COMPUTED_VALUE"""),"Housing")</f>
        <v>Housing</v>
      </c>
      <c r="F665" s="33" t="str">
        <f>IFERROR(__xludf.DUMMYFUNCTION("""COMPUTED_VALUE"""),"Miscellaneous")</f>
        <v>Miscellaneous</v>
      </c>
      <c r="G665" s="33" t="str">
        <f>IFERROR(__xludf.DUMMYFUNCTION("""COMPUTED_VALUE"""),"Pet")</f>
        <v>Pet</v>
      </c>
      <c r="H665" s="33" t="str">
        <f>IFERROR(__xludf.DUMMYFUNCTION("""COMPUTED_VALUE"""),"Transportation")</f>
        <v>Transportation</v>
      </c>
      <c r="I665" s="33"/>
      <c r="J665" s="33"/>
      <c r="K665" s="33"/>
    </row>
    <row r="666">
      <c r="A666" s="33" t="str">
        <f>IFERROR(__xludf.DUMMYFUNCTION("""COMPUTED_VALUE"""),"Deposit")</f>
        <v>Deposit</v>
      </c>
      <c r="B666" s="33" t="str">
        <f>IFERROR(__xludf.DUMMYFUNCTION("""COMPUTED_VALUE"""),"Withdrawal")</f>
        <v>Withdrawal</v>
      </c>
      <c r="C666" s="33"/>
      <c r="D666" s="33"/>
      <c r="E666" s="33"/>
      <c r="F666" s="33"/>
      <c r="G666" s="33"/>
      <c r="H666" s="33"/>
      <c r="I666" s="33"/>
      <c r="J666" s="33"/>
      <c r="K666" s="33"/>
    </row>
    <row r="667">
      <c r="A667" s="33" t="str">
        <f>IFERROR(__xludf.DUMMYFUNCTION("""COMPUTED_VALUE"""),"Deposit")</f>
        <v>Deposit</v>
      </c>
      <c r="B667" s="33" t="str">
        <f>IFERROR(__xludf.DUMMYFUNCTION("""COMPUTED_VALUE"""),"Withdrawal")</f>
        <v>Withdrawal</v>
      </c>
      <c r="C667" s="33"/>
      <c r="D667" s="33"/>
      <c r="E667" s="33"/>
      <c r="F667" s="33"/>
      <c r="G667" s="33"/>
      <c r="H667" s="33"/>
      <c r="I667" s="33"/>
      <c r="J667" s="33"/>
      <c r="K667" s="33"/>
    </row>
    <row r="668">
      <c r="A668" s="33" t="str">
        <f>IFERROR(__xludf.DUMMYFUNCTION("""COMPUTED_VALUE"""),"Clothing")</f>
        <v>Clothing</v>
      </c>
      <c r="B668" s="33" t="str">
        <f>IFERROR(__xludf.DUMMYFUNCTION("""COMPUTED_VALUE"""),"Gaming")</f>
        <v>Gaming</v>
      </c>
      <c r="C668" s="33" t="str">
        <f>IFERROR(__xludf.DUMMYFUNCTION("""COMPUTED_VALUE"""),"Gifts")</f>
        <v>Gifts</v>
      </c>
      <c r="D668" s="33" t="str">
        <f>IFERROR(__xludf.DUMMYFUNCTION("""COMPUTED_VALUE"""),"Healthcare")</f>
        <v>Healthcare</v>
      </c>
      <c r="E668" s="33" t="str">
        <f>IFERROR(__xludf.DUMMYFUNCTION("""COMPUTED_VALUE"""),"Hobbies")</f>
        <v>Hobbies</v>
      </c>
      <c r="F668" s="33" t="str">
        <f>IFERROR(__xludf.DUMMYFUNCTION("""COMPUTED_VALUE"""),"Subscriptions")</f>
        <v>Subscriptions</v>
      </c>
      <c r="G668" s="33"/>
      <c r="H668" s="33"/>
      <c r="I668" s="33"/>
      <c r="J668" s="33"/>
      <c r="K668" s="33"/>
    </row>
    <row r="669">
      <c r="A669" s="33" t="str">
        <f>IFERROR(__xludf.DUMMYFUNCTION("""COMPUTED_VALUE"""),"Dining Out")</f>
        <v>Dining Out</v>
      </c>
      <c r="B669" s="33" t="str">
        <f>IFERROR(__xludf.DUMMYFUNCTION("""COMPUTED_VALUE"""),"Entertainment")</f>
        <v>Entertainment</v>
      </c>
      <c r="C669" s="33" t="str">
        <f>IFERROR(__xludf.DUMMYFUNCTION("""COMPUTED_VALUE"""),"Gaming")</f>
        <v>Gaming</v>
      </c>
      <c r="D669" s="33" t="str">
        <f>IFERROR(__xludf.DUMMYFUNCTION("""COMPUTED_VALUE"""),"Gifts")</f>
        <v>Gifts</v>
      </c>
      <c r="E669" s="33" t="str">
        <f>IFERROR(__xludf.DUMMYFUNCTION("""COMPUTED_VALUE"""),"Groceries")</f>
        <v>Groceries</v>
      </c>
      <c r="F669" s="33" t="str">
        <f>IFERROR(__xludf.DUMMYFUNCTION("""COMPUTED_VALUE"""),"Healthcare")</f>
        <v>Healthcare</v>
      </c>
      <c r="G669" s="33" t="str">
        <f>IFERROR(__xludf.DUMMYFUNCTION("""COMPUTED_VALUE"""),"Hobbies")</f>
        <v>Hobbies</v>
      </c>
      <c r="H669" s="33" t="str">
        <f>IFERROR(__xludf.DUMMYFUNCTION("""COMPUTED_VALUE"""),"Household Items")</f>
        <v>Household Items</v>
      </c>
      <c r="I669" s="33" t="str">
        <f>IFERROR(__xludf.DUMMYFUNCTION("""COMPUTED_VALUE"""),"Subscriptions")</f>
        <v>Subscriptions</v>
      </c>
      <c r="J669" s="33" t="str">
        <f>IFERROR(__xludf.DUMMYFUNCTION("""COMPUTED_VALUE"""),"Transportation")</f>
        <v>Transportation</v>
      </c>
      <c r="K669" s="33" t="str">
        <f>IFERROR(__xludf.DUMMYFUNCTION("""COMPUTED_VALUE"""),"Travel")</f>
        <v>Travel</v>
      </c>
    </row>
    <row r="670">
      <c r="A670" s="33" t="str">
        <f>IFERROR(__xludf.DUMMYFUNCTION("""COMPUTED_VALUE"""),"Debt")</f>
        <v>Debt</v>
      </c>
      <c r="B670" s="33" t="str">
        <f>IFERROR(__xludf.DUMMYFUNCTION("""COMPUTED_VALUE"""),"Groceries")</f>
        <v>Groceries</v>
      </c>
      <c r="C670" s="33" t="str">
        <f>IFERROR(__xludf.DUMMYFUNCTION("""COMPUTED_VALUE"""),"Healthcare")</f>
        <v>Healthcare</v>
      </c>
      <c r="D670" s="33" t="str">
        <f>IFERROR(__xludf.DUMMYFUNCTION("""COMPUTED_VALUE"""),"Household Items")</f>
        <v>Household Items</v>
      </c>
      <c r="E670" s="33" t="str">
        <f>IFERROR(__xludf.DUMMYFUNCTION("""COMPUTED_VALUE"""),"Housing")</f>
        <v>Housing</v>
      </c>
      <c r="F670" s="33" t="str">
        <f>IFERROR(__xludf.DUMMYFUNCTION("""COMPUTED_VALUE"""),"Miscellaneous")</f>
        <v>Miscellaneous</v>
      </c>
      <c r="G670" s="33" t="str">
        <f>IFERROR(__xludf.DUMMYFUNCTION("""COMPUTED_VALUE"""),"Pet")</f>
        <v>Pet</v>
      </c>
      <c r="H670" s="33" t="str">
        <f>IFERROR(__xludf.DUMMYFUNCTION("""COMPUTED_VALUE"""),"Transportation")</f>
        <v>Transportation</v>
      </c>
      <c r="I670" s="33"/>
      <c r="J670" s="33"/>
      <c r="K670" s="33"/>
    </row>
    <row r="671">
      <c r="A671" s="33" t="str">
        <f>IFERROR(__xludf.DUMMYFUNCTION("""COMPUTED_VALUE"""),"Debt")</f>
        <v>Debt</v>
      </c>
      <c r="B671" s="33" t="str">
        <f>IFERROR(__xludf.DUMMYFUNCTION("""COMPUTED_VALUE"""),"Groceries")</f>
        <v>Groceries</v>
      </c>
      <c r="C671" s="33" t="str">
        <f>IFERROR(__xludf.DUMMYFUNCTION("""COMPUTED_VALUE"""),"Healthcare")</f>
        <v>Healthcare</v>
      </c>
      <c r="D671" s="33" t="str">
        <f>IFERROR(__xludf.DUMMYFUNCTION("""COMPUTED_VALUE"""),"Household Items")</f>
        <v>Household Items</v>
      </c>
      <c r="E671" s="33" t="str">
        <f>IFERROR(__xludf.DUMMYFUNCTION("""COMPUTED_VALUE"""),"Housing")</f>
        <v>Housing</v>
      </c>
      <c r="F671" s="33" t="str">
        <f>IFERROR(__xludf.DUMMYFUNCTION("""COMPUTED_VALUE"""),"Miscellaneous")</f>
        <v>Miscellaneous</v>
      </c>
      <c r="G671" s="33" t="str">
        <f>IFERROR(__xludf.DUMMYFUNCTION("""COMPUTED_VALUE"""),"Pet")</f>
        <v>Pet</v>
      </c>
      <c r="H671" s="33" t="str">
        <f>IFERROR(__xludf.DUMMYFUNCTION("""COMPUTED_VALUE"""),"Transportation")</f>
        <v>Transportation</v>
      </c>
      <c r="I671" s="33"/>
      <c r="J671" s="33"/>
      <c r="K671" s="33"/>
    </row>
    <row r="672">
      <c r="A672" s="33" t="str">
        <f>IFERROR(__xludf.DUMMYFUNCTION("""COMPUTED_VALUE"""),"Debt")</f>
        <v>Debt</v>
      </c>
      <c r="B672" s="33" t="str">
        <f>IFERROR(__xludf.DUMMYFUNCTION("""COMPUTED_VALUE"""),"Groceries")</f>
        <v>Groceries</v>
      </c>
      <c r="C672" s="33" t="str">
        <f>IFERROR(__xludf.DUMMYFUNCTION("""COMPUTED_VALUE"""),"Healthcare")</f>
        <v>Healthcare</v>
      </c>
      <c r="D672" s="33" t="str">
        <f>IFERROR(__xludf.DUMMYFUNCTION("""COMPUTED_VALUE"""),"Household Items")</f>
        <v>Household Items</v>
      </c>
      <c r="E672" s="33" t="str">
        <f>IFERROR(__xludf.DUMMYFUNCTION("""COMPUTED_VALUE"""),"Housing")</f>
        <v>Housing</v>
      </c>
      <c r="F672" s="33" t="str">
        <f>IFERROR(__xludf.DUMMYFUNCTION("""COMPUTED_VALUE"""),"Miscellaneous")</f>
        <v>Miscellaneous</v>
      </c>
      <c r="G672" s="33" t="str">
        <f>IFERROR(__xludf.DUMMYFUNCTION("""COMPUTED_VALUE"""),"Pet")</f>
        <v>Pet</v>
      </c>
      <c r="H672" s="33" t="str">
        <f>IFERROR(__xludf.DUMMYFUNCTION("""COMPUTED_VALUE"""),"Transportation")</f>
        <v>Transportation</v>
      </c>
      <c r="I672" s="33"/>
      <c r="J672" s="33"/>
      <c r="K672" s="33"/>
    </row>
    <row r="673">
      <c r="A673" s="33" t="str">
        <f>IFERROR(__xludf.DUMMYFUNCTION("""COMPUTED_VALUE"""),"Debt")</f>
        <v>Debt</v>
      </c>
      <c r="B673" s="33" t="str">
        <f>IFERROR(__xludf.DUMMYFUNCTION("""COMPUTED_VALUE"""),"Groceries")</f>
        <v>Groceries</v>
      </c>
      <c r="C673" s="33" t="str">
        <f>IFERROR(__xludf.DUMMYFUNCTION("""COMPUTED_VALUE"""),"Healthcare")</f>
        <v>Healthcare</v>
      </c>
      <c r="D673" s="33" t="str">
        <f>IFERROR(__xludf.DUMMYFUNCTION("""COMPUTED_VALUE"""),"Household Items")</f>
        <v>Household Items</v>
      </c>
      <c r="E673" s="33" t="str">
        <f>IFERROR(__xludf.DUMMYFUNCTION("""COMPUTED_VALUE"""),"Housing")</f>
        <v>Housing</v>
      </c>
      <c r="F673" s="33" t="str">
        <f>IFERROR(__xludf.DUMMYFUNCTION("""COMPUTED_VALUE"""),"Miscellaneous")</f>
        <v>Miscellaneous</v>
      </c>
      <c r="G673" s="33" t="str">
        <f>IFERROR(__xludf.DUMMYFUNCTION("""COMPUTED_VALUE"""),"Pet")</f>
        <v>Pet</v>
      </c>
      <c r="H673" s="33" t="str">
        <f>IFERROR(__xludf.DUMMYFUNCTION("""COMPUTED_VALUE"""),"Transportation")</f>
        <v>Transportation</v>
      </c>
      <c r="I673" s="33"/>
      <c r="J673" s="33"/>
      <c r="K673" s="33"/>
    </row>
    <row r="674">
      <c r="A674" s="33" t="str">
        <f>IFERROR(__xludf.DUMMYFUNCTION("""COMPUTED_VALUE"""),"Debt")</f>
        <v>Debt</v>
      </c>
      <c r="B674" s="33" t="str">
        <f>IFERROR(__xludf.DUMMYFUNCTION("""COMPUTED_VALUE"""),"Groceries")</f>
        <v>Groceries</v>
      </c>
      <c r="C674" s="33" t="str">
        <f>IFERROR(__xludf.DUMMYFUNCTION("""COMPUTED_VALUE"""),"Healthcare")</f>
        <v>Healthcare</v>
      </c>
      <c r="D674" s="33" t="str">
        <f>IFERROR(__xludf.DUMMYFUNCTION("""COMPUTED_VALUE"""),"Household Items")</f>
        <v>Household Items</v>
      </c>
      <c r="E674" s="33" t="str">
        <f>IFERROR(__xludf.DUMMYFUNCTION("""COMPUTED_VALUE"""),"Housing")</f>
        <v>Housing</v>
      </c>
      <c r="F674" s="33" t="str">
        <f>IFERROR(__xludf.DUMMYFUNCTION("""COMPUTED_VALUE"""),"Miscellaneous")</f>
        <v>Miscellaneous</v>
      </c>
      <c r="G674" s="33" t="str">
        <f>IFERROR(__xludf.DUMMYFUNCTION("""COMPUTED_VALUE"""),"Pet")</f>
        <v>Pet</v>
      </c>
      <c r="H674" s="33" t="str">
        <f>IFERROR(__xludf.DUMMYFUNCTION("""COMPUTED_VALUE"""),"Transportation")</f>
        <v>Transportation</v>
      </c>
      <c r="I674" s="33"/>
      <c r="J674" s="33"/>
      <c r="K674" s="33"/>
    </row>
    <row r="675">
      <c r="A675" s="33" t="str">
        <f>IFERROR(__xludf.DUMMYFUNCTION("""COMPUTED_VALUE"""),"Cashback")</f>
        <v>Cashback</v>
      </c>
      <c r="B675" s="33" t="str">
        <f>IFERROR(__xludf.DUMMYFUNCTION("""COMPUTED_VALUE"""),"Investment Returns")</f>
        <v>Investment Returns</v>
      </c>
      <c r="C675" s="33" t="str">
        <f>IFERROR(__xludf.DUMMYFUNCTION("""COMPUTED_VALUE"""),"Paycheck")</f>
        <v>Paycheck</v>
      </c>
      <c r="D675" s="33" t="str">
        <f>IFERROR(__xludf.DUMMYFUNCTION("""COMPUTED_VALUE"""),"Reimbursement")</f>
        <v>Reimbursement</v>
      </c>
      <c r="E675" s="33" t="str">
        <f>IFERROR(__xludf.DUMMYFUNCTION("""COMPUTED_VALUE"""),"Rewards")</f>
        <v>Rewards</v>
      </c>
      <c r="F675" s="33"/>
      <c r="G675" s="33"/>
      <c r="H675" s="33"/>
      <c r="I675" s="33"/>
      <c r="J675" s="33"/>
      <c r="K675" s="33"/>
    </row>
    <row r="676">
      <c r="A676" s="33" t="str">
        <f>IFERROR(__xludf.DUMMYFUNCTION("""COMPUTED_VALUE"""),"Debt")</f>
        <v>Debt</v>
      </c>
      <c r="B676" s="33" t="str">
        <f>IFERROR(__xludf.DUMMYFUNCTION("""COMPUTED_VALUE"""),"Groceries")</f>
        <v>Groceries</v>
      </c>
      <c r="C676" s="33" t="str">
        <f>IFERROR(__xludf.DUMMYFUNCTION("""COMPUTED_VALUE"""),"Healthcare")</f>
        <v>Healthcare</v>
      </c>
      <c r="D676" s="33" t="str">
        <f>IFERROR(__xludf.DUMMYFUNCTION("""COMPUTED_VALUE"""),"Household Items")</f>
        <v>Household Items</v>
      </c>
      <c r="E676" s="33" t="str">
        <f>IFERROR(__xludf.DUMMYFUNCTION("""COMPUTED_VALUE"""),"Housing")</f>
        <v>Housing</v>
      </c>
      <c r="F676" s="33" t="str">
        <f>IFERROR(__xludf.DUMMYFUNCTION("""COMPUTED_VALUE"""),"Miscellaneous")</f>
        <v>Miscellaneous</v>
      </c>
      <c r="G676" s="33" t="str">
        <f>IFERROR(__xludf.DUMMYFUNCTION("""COMPUTED_VALUE"""),"Pet")</f>
        <v>Pet</v>
      </c>
      <c r="H676" s="33" t="str">
        <f>IFERROR(__xludf.DUMMYFUNCTION("""COMPUTED_VALUE"""),"Transportation")</f>
        <v>Transportation</v>
      </c>
      <c r="I676" s="33"/>
      <c r="J676" s="33"/>
      <c r="K676" s="33"/>
    </row>
    <row r="677">
      <c r="A677" s="33" t="str">
        <f>IFERROR(__xludf.DUMMYFUNCTION("""COMPUTED_VALUE"""),"Debt")</f>
        <v>Debt</v>
      </c>
      <c r="B677" s="33" t="str">
        <f>IFERROR(__xludf.DUMMYFUNCTION("""COMPUTED_VALUE"""),"Groceries")</f>
        <v>Groceries</v>
      </c>
      <c r="C677" s="33" t="str">
        <f>IFERROR(__xludf.DUMMYFUNCTION("""COMPUTED_VALUE"""),"Healthcare")</f>
        <v>Healthcare</v>
      </c>
      <c r="D677" s="33" t="str">
        <f>IFERROR(__xludf.DUMMYFUNCTION("""COMPUTED_VALUE"""),"Household Items")</f>
        <v>Household Items</v>
      </c>
      <c r="E677" s="33" t="str">
        <f>IFERROR(__xludf.DUMMYFUNCTION("""COMPUTED_VALUE"""),"Housing")</f>
        <v>Housing</v>
      </c>
      <c r="F677" s="33" t="str">
        <f>IFERROR(__xludf.DUMMYFUNCTION("""COMPUTED_VALUE"""),"Miscellaneous")</f>
        <v>Miscellaneous</v>
      </c>
      <c r="G677" s="33" t="str">
        <f>IFERROR(__xludf.DUMMYFUNCTION("""COMPUTED_VALUE"""),"Pet")</f>
        <v>Pet</v>
      </c>
      <c r="H677" s="33" t="str">
        <f>IFERROR(__xludf.DUMMYFUNCTION("""COMPUTED_VALUE"""),"Transportation")</f>
        <v>Transportation</v>
      </c>
      <c r="I677" s="33"/>
      <c r="J677" s="33"/>
      <c r="K677" s="33"/>
    </row>
    <row r="678">
      <c r="A678" s="33" t="str">
        <f>IFERROR(__xludf.DUMMYFUNCTION("""COMPUTED_VALUE"""),"Dining Out")</f>
        <v>Dining Out</v>
      </c>
      <c r="B678" s="33" t="str">
        <f>IFERROR(__xludf.DUMMYFUNCTION("""COMPUTED_VALUE"""),"Entertainment")</f>
        <v>Entertainment</v>
      </c>
      <c r="C678" s="33" t="str">
        <f>IFERROR(__xludf.DUMMYFUNCTION("""COMPUTED_VALUE"""),"Gaming")</f>
        <v>Gaming</v>
      </c>
      <c r="D678" s="33" t="str">
        <f>IFERROR(__xludf.DUMMYFUNCTION("""COMPUTED_VALUE"""),"Gifts")</f>
        <v>Gifts</v>
      </c>
      <c r="E678" s="33" t="str">
        <f>IFERROR(__xludf.DUMMYFUNCTION("""COMPUTED_VALUE"""),"Groceries")</f>
        <v>Groceries</v>
      </c>
      <c r="F678" s="33" t="str">
        <f>IFERROR(__xludf.DUMMYFUNCTION("""COMPUTED_VALUE"""),"Healthcare")</f>
        <v>Healthcare</v>
      </c>
      <c r="G678" s="33" t="str">
        <f>IFERROR(__xludf.DUMMYFUNCTION("""COMPUTED_VALUE"""),"Hobbies")</f>
        <v>Hobbies</v>
      </c>
      <c r="H678" s="33" t="str">
        <f>IFERROR(__xludf.DUMMYFUNCTION("""COMPUTED_VALUE"""),"Household Items")</f>
        <v>Household Items</v>
      </c>
      <c r="I678" s="33" t="str">
        <f>IFERROR(__xludf.DUMMYFUNCTION("""COMPUTED_VALUE"""),"Subscriptions")</f>
        <v>Subscriptions</v>
      </c>
      <c r="J678" s="33" t="str">
        <f>IFERROR(__xludf.DUMMYFUNCTION("""COMPUTED_VALUE"""),"Transportation")</f>
        <v>Transportation</v>
      </c>
      <c r="K678" s="33" t="str">
        <f>IFERROR(__xludf.DUMMYFUNCTION("""COMPUTED_VALUE"""),"Travel")</f>
        <v>Travel</v>
      </c>
    </row>
    <row r="679">
      <c r="A679" s="33" t="str">
        <f>IFERROR(__xludf.DUMMYFUNCTION("""COMPUTED_VALUE"""),"Clothing")</f>
        <v>Clothing</v>
      </c>
      <c r="B679" s="33" t="str">
        <f>IFERROR(__xludf.DUMMYFUNCTION("""COMPUTED_VALUE"""),"Gifts")</f>
        <v>Gifts</v>
      </c>
      <c r="C679" s="33" t="str">
        <f>IFERROR(__xludf.DUMMYFUNCTION("""COMPUTED_VALUE"""),"Healthcare")</f>
        <v>Healthcare</v>
      </c>
      <c r="D679" s="33" t="str">
        <f>IFERROR(__xludf.DUMMYFUNCTION("""COMPUTED_VALUE"""),"Hobbies")</f>
        <v>Hobbies</v>
      </c>
      <c r="E679" s="33" t="str">
        <f>IFERROR(__xludf.DUMMYFUNCTION("""COMPUTED_VALUE"""),"Organization")</f>
        <v>Organization</v>
      </c>
      <c r="F679" s="33"/>
      <c r="G679" s="33"/>
      <c r="H679" s="33"/>
      <c r="I679" s="33"/>
      <c r="J679" s="33"/>
      <c r="K679" s="33"/>
    </row>
    <row r="680">
      <c r="A680" s="33" t="str">
        <f>IFERROR(__xludf.DUMMYFUNCTION("""COMPUTED_VALUE"""),"Cashback")</f>
        <v>Cashback</v>
      </c>
      <c r="B680" s="33" t="str">
        <f>IFERROR(__xludf.DUMMYFUNCTION("""COMPUTED_VALUE"""),"Investment Returns")</f>
        <v>Investment Returns</v>
      </c>
      <c r="C680" s="33" t="str">
        <f>IFERROR(__xludf.DUMMYFUNCTION("""COMPUTED_VALUE"""),"Paycheck")</f>
        <v>Paycheck</v>
      </c>
      <c r="D680" s="33" t="str">
        <f>IFERROR(__xludf.DUMMYFUNCTION("""COMPUTED_VALUE"""),"Reimbursement")</f>
        <v>Reimbursement</v>
      </c>
      <c r="E680" s="33" t="str">
        <f>IFERROR(__xludf.DUMMYFUNCTION("""COMPUTED_VALUE"""),"Rewards")</f>
        <v>Rewards</v>
      </c>
      <c r="F680" s="33"/>
      <c r="G680" s="33"/>
      <c r="H680" s="33"/>
      <c r="I680" s="33"/>
      <c r="J680" s="33"/>
      <c r="K680" s="33"/>
    </row>
    <row r="681">
      <c r="A681" s="33" t="str">
        <f>IFERROR(__xludf.DUMMYFUNCTION("""COMPUTED_VALUE"""),"Cashback")</f>
        <v>Cashback</v>
      </c>
      <c r="B681" s="33" t="str">
        <f>IFERROR(__xludf.DUMMYFUNCTION("""COMPUTED_VALUE"""),"Investment Returns")</f>
        <v>Investment Returns</v>
      </c>
      <c r="C681" s="33" t="str">
        <f>IFERROR(__xludf.DUMMYFUNCTION("""COMPUTED_VALUE"""),"Paycheck")</f>
        <v>Paycheck</v>
      </c>
      <c r="D681" s="33" t="str">
        <f>IFERROR(__xludf.DUMMYFUNCTION("""COMPUTED_VALUE"""),"Reimbursement")</f>
        <v>Reimbursement</v>
      </c>
      <c r="E681" s="33" t="str">
        <f>IFERROR(__xludf.DUMMYFUNCTION("""COMPUTED_VALUE"""),"Rewards")</f>
        <v>Rewards</v>
      </c>
      <c r="F681" s="33"/>
      <c r="G681" s="33"/>
      <c r="H681" s="33"/>
      <c r="I681" s="33"/>
      <c r="J681" s="33"/>
      <c r="K681" s="33"/>
    </row>
    <row r="682">
      <c r="A682" s="33" t="str">
        <f>IFERROR(__xludf.DUMMYFUNCTION("""COMPUTED_VALUE"""),"Car Fund")</f>
        <v>Car Fund</v>
      </c>
      <c r="B682" s="33" t="str">
        <f>IFERROR(__xludf.DUMMYFUNCTION("""COMPUTED_VALUE"""),"Emergency Fund")</f>
        <v>Emergency Fund</v>
      </c>
      <c r="C682" s="33" t="str">
        <f>IFERROR(__xludf.DUMMYFUNCTION("""COMPUTED_VALUE"""),"Family Fund")</f>
        <v>Family Fund</v>
      </c>
      <c r="D682" s="33" t="str">
        <f>IFERROR(__xludf.DUMMYFUNCTION("""COMPUTED_VALUE"""),"Kenji Fund")</f>
        <v>Kenji Fund</v>
      </c>
      <c r="E682" s="33" t="str">
        <f>IFERROR(__xludf.DUMMYFUNCTION("""COMPUTED_VALUE"""),"Mei Fund")</f>
        <v>Mei Fund</v>
      </c>
      <c r="F682" s="33" t="str">
        <f>IFERROR(__xludf.DUMMYFUNCTION("""COMPUTED_VALUE"""),"Pet Fund")</f>
        <v>Pet Fund</v>
      </c>
      <c r="G682" s="33" t="str">
        <f>IFERROR(__xludf.DUMMYFUNCTION("""COMPUTED_VALUE"""),"Vacation Fund")</f>
        <v>Vacation Fund</v>
      </c>
      <c r="H682" s="33"/>
      <c r="I682" s="33"/>
      <c r="J682" s="33"/>
      <c r="K682" s="33"/>
    </row>
    <row r="683">
      <c r="A683" s="33" t="str">
        <f>IFERROR(__xludf.DUMMYFUNCTION("""COMPUTED_VALUE"""),"Deposit")</f>
        <v>Deposit</v>
      </c>
      <c r="B683" s="33" t="str">
        <f>IFERROR(__xludf.DUMMYFUNCTION("""COMPUTED_VALUE"""),"Withdrawal")</f>
        <v>Withdrawal</v>
      </c>
      <c r="C683" s="33"/>
      <c r="D683" s="33"/>
      <c r="E683" s="33"/>
      <c r="F683" s="33"/>
      <c r="G683" s="33"/>
      <c r="H683" s="33"/>
      <c r="I683" s="33"/>
      <c r="J683" s="33"/>
      <c r="K683" s="33"/>
    </row>
    <row r="684">
      <c r="A684" s="33" t="str">
        <f>IFERROR(__xludf.DUMMYFUNCTION("""COMPUTED_VALUE"""),"FHSA")</f>
        <v>FHSA</v>
      </c>
      <c r="B684" s="33" t="str">
        <f>IFERROR(__xludf.DUMMYFUNCTION("""COMPUTED_VALUE"""),"RRSP")</f>
        <v>RRSP</v>
      </c>
      <c r="C684" s="33" t="str">
        <f>IFERROR(__xludf.DUMMYFUNCTION("""COMPUTED_VALUE"""),"TFSA")</f>
        <v>TFSA</v>
      </c>
      <c r="D684" s="33"/>
      <c r="E684" s="33"/>
      <c r="F684" s="33"/>
      <c r="G684" s="33"/>
      <c r="H684" s="33"/>
      <c r="I684" s="33"/>
      <c r="J684" s="33"/>
      <c r="K684" s="33"/>
    </row>
    <row r="685">
      <c r="A685" s="33" t="str">
        <f>IFERROR(__xludf.DUMMYFUNCTION("""COMPUTED_VALUE"""),"Deposit")</f>
        <v>Deposit</v>
      </c>
      <c r="B685" s="33" t="str">
        <f>IFERROR(__xludf.DUMMYFUNCTION("""COMPUTED_VALUE"""),"Withdrawal")</f>
        <v>Withdrawal</v>
      </c>
      <c r="C685" s="33"/>
      <c r="D685" s="33"/>
      <c r="E685" s="33"/>
      <c r="F685" s="33"/>
      <c r="G685" s="33"/>
      <c r="H685" s="33"/>
      <c r="I685" s="33"/>
      <c r="J685" s="33"/>
      <c r="K685" s="33"/>
    </row>
    <row r="686">
      <c r="A686" s="33" t="str">
        <f>IFERROR(__xludf.DUMMYFUNCTION("""COMPUTED_VALUE"""),"FHSA")</f>
        <v>FHSA</v>
      </c>
      <c r="B686" s="33" t="str">
        <f>IFERROR(__xludf.DUMMYFUNCTION("""COMPUTED_VALUE"""),"RRSP")</f>
        <v>RRSP</v>
      </c>
      <c r="C686" s="33" t="str">
        <f>IFERROR(__xludf.DUMMYFUNCTION("""COMPUTED_VALUE"""),"TFSA")</f>
        <v>TFSA</v>
      </c>
      <c r="D686" s="33"/>
      <c r="E686" s="33"/>
      <c r="F686" s="33"/>
      <c r="G686" s="33"/>
      <c r="H686" s="33"/>
      <c r="I686" s="33"/>
      <c r="J686" s="33"/>
      <c r="K686" s="33"/>
    </row>
    <row r="687">
      <c r="A687" s="33" t="str">
        <f>IFERROR(__xludf.DUMMYFUNCTION("""COMPUTED_VALUE"""),"Deposit")</f>
        <v>Deposit</v>
      </c>
      <c r="B687" s="33" t="str">
        <f>IFERROR(__xludf.DUMMYFUNCTION("""COMPUTED_VALUE"""),"Withdrawal")</f>
        <v>Withdrawal</v>
      </c>
      <c r="C687" s="33"/>
      <c r="D687" s="33"/>
      <c r="E687" s="33"/>
      <c r="F687" s="33"/>
      <c r="G687" s="33"/>
      <c r="H687" s="33"/>
      <c r="I687" s="33"/>
      <c r="J687" s="33"/>
      <c r="K687" s="33"/>
    </row>
    <row r="688">
      <c r="A688" s="33" t="str">
        <f>IFERROR(__xludf.DUMMYFUNCTION("""COMPUTED_VALUE"""),"Deposit")</f>
        <v>Deposit</v>
      </c>
      <c r="B688" s="33" t="str">
        <f>IFERROR(__xludf.DUMMYFUNCTION("""COMPUTED_VALUE"""),"Withdrawal")</f>
        <v>Withdrawal</v>
      </c>
      <c r="C688" s="33"/>
      <c r="D688" s="33"/>
      <c r="E688" s="33"/>
      <c r="F688" s="33"/>
      <c r="G688" s="33"/>
      <c r="H688" s="33"/>
      <c r="I688" s="33"/>
      <c r="J688" s="33"/>
      <c r="K688" s="33"/>
    </row>
    <row r="689">
      <c r="A689" s="33" t="str">
        <f>IFERROR(__xludf.DUMMYFUNCTION("""COMPUTED_VALUE"""),"Deposit")</f>
        <v>Deposit</v>
      </c>
      <c r="B689" s="33" t="str">
        <f>IFERROR(__xludf.DUMMYFUNCTION("""COMPUTED_VALUE"""),"Withdrawal")</f>
        <v>Withdrawal</v>
      </c>
      <c r="C689" s="33"/>
      <c r="D689" s="33"/>
      <c r="E689" s="33"/>
      <c r="F689" s="33"/>
      <c r="G689" s="33"/>
      <c r="H689" s="33"/>
      <c r="I689" s="33"/>
      <c r="J689" s="33"/>
      <c r="K689" s="33"/>
    </row>
    <row r="690">
      <c r="A690" s="33" t="str">
        <f>IFERROR(__xludf.DUMMYFUNCTION("""COMPUTED_VALUE"""),"Dining Out")</f>
        <v>Dining Out</v>
      </c>
      <c r="B690" s="33" t="str">
        <f>IFERROR(__xludf.DUMMYFUNCTION("""COMPUTED_VALUE"""),"Entertainment")</f>
        <v>Entertainment</v>
      </c>
      <c r="C690" s="33" t="str">
        <f>IFERROR(__xludf.DUMMYFUNCTION("""COMPUTED_VALUE"""),"Gaming")</f>
        <v>Gaming</v>
      </c>
      <c r="D690" s="33" t="str">
        <f>IFERROR(__xludf.DUMMYFUNCTION("""COMPUTED_VALUE"""),"Gifts")</f>
        <v>Gifts</v>
      </c>
      <c r="E690" s="33" t="str">
        <f>IFERROR(__xludf.DUMMYFUNCTION("""COMPUTED_VALUE"""),"Groceries")</f>
        <v>Groceries</v>
      </c>
      <c r="F690" s="33" t="str">
        <f>IFERROR(__xludf.DUMMYFUNCTION("""COMPUTED_VALUE"""),"Healthcare")</f>
        <v>Healthcare</v>
      </c>
      <c r="G690" s="33" t="str">
        <f>IFERROR(__xludf.DUMMYFUNCTION("""COMPUTED_VALUE"""),"Hobbies")</f>
        <v>Hobbies</v>
      </c>
      <c r="H690" s="33" t="str">
        <f>IFERROR(__xludf.DUMMYFUNCTION("""COMPUTED_VALUE"""),"Household Items")</f>
        <v>Household Items</v>
      </c>
      <c r="I690" s="33" t="str">
        <f>IFERROR(__xludf.DUMMYFUNCTION("""COMPUTED_VALUE"""),"Subscriptions")</f>
        <v>Subscriptions</v>
      </c>
      <c r="J690" s="33" t="str">
        <f>IFERROR(__xludf.DUMMYFUNCTION("""COMPUTED_VALUE"""),"Transportation")</f>
        <v>Transportation</v>
      </c>
      <c r="K690" s="33" t="str">
        <f>IFERROR(__xludf.DUMMYFUNCTION("""COMPUTED_VALUE"""),"Travel")</f>
        <v>Travel</v>
      </c>
    </row>
    <row r="691">
      <c r="A691" s="33" t="str">
        <f>IFERROR(__xludf.DUMMYFUNCTION("""COMPUTED_VALUE"""),"Debt")</f>
        <v>Debt</v>
      </c>
      <c r="B691" s="33" t="str">
        <f>IFERROR(__xludf.DUMMYFUNCTION("""COMPUTED_VALUE"""),"Groceries")</f>
        <v>Groceries</v>
      </c>
      <c r="C691" s="33" t="str">
        <f>IFERROR(__xludf.DUMMYFUNCTION("""COMPUTED_VALUE"""),"Healthcare")</f>
        <v>Healthcare</v>
      </c>
      <c r="D691" s="33" t="str">
        <f>IFERROR(__xludf.DUMMYFUNCTION("""COMPUTED_VALUE"""),"Household Items")</f>
        <v>Household Items</v>
      </c>
      <c r="E691" s="33" t="str">
        <f>IFERROR(__xludf.DUMMYFUNCTION("""COMPUTED_VALUE"""),"Housing")</f>
        <v>Housing</v>
      </c>
      <c r="F691" s="33" t="str">
        <f>IFERROR(__xludf.DUMMYFUNCTION("""COMPUTED_VALUE"""),"Miscellaneous")</f>
        <v>Miscellaneous</v>
      </c>
      <c r="G691" s="33" t="str">
        <f>IFERROR(__xludf.DUMMYFUNCTION("""COMPUTED_VALUE"""),"Pet")</f>
        <v>Pet</v>
      </c>
      <c r="H691" s="33" t="str">
        <f>IFERROR(__xludf.DUMMYFUNCTION("""COMPUTED_VALUE"""),"Transportation")</f>
        <v>Transportation</v>
      </c>
      <c r="I691" s="33"/>
      <c r="J691" s="33"/>
      <c r="K691" s="33"/>
    </row>
    <row r="692">
      <c r="A692" s="33" t="str">
        <f>IFERROR(__xludf.DUMMYFUNCTION("""COMPUTED_VALUE"""),"Boarding")</f>
        <v>Boarding</v>
      </c>
      <c r="B692" s="33" t="str">
        <f>IFERROR(__xludf.DUMMYFUNCTION("""COMPUTED_VALUE"""),"Clothing")</f>
        <v>Clothing</v>
      </c>
      <c r="C692" s="33" t="str">
        <f>IFERROR(__xludf.DUMMYFUNCTION("""COMPUTED_VALUE"""),"Daycare")</f>
        <v>Daycare</v>
      </c>
      <c r="D692" s="33" t="str">
        <f>IFERROR(__xludf.DUMMYFUNCTION("""COMPUTED_VALUE"""),"Grooming")</f>
        <v>Grooming</v>
      </c>
      <c r="E692" s="33" t="str">
        <f>IFERROR(__xludf.DUMMYFUNCTION("""COMPUTED_VALUE"""),"Toys")</f>
        <v>Toys</v>
      </c>
      <c r="F692" s="33" t="str">
        <f>IFERROR(__xludf.DUMMYFUNCTION("""COMPUTED_VALUE"""),"Treats")</f>
        <v>Treats</v>
      </c>
      <c r="G692" s="33"/>
      <c r="H692" s="33"/>
      <c r="I692" s="33"/>
      <c r="J692" s="33"/>
      <c r="K692" s="33"/>
    </row>
    <row r="693">
      <c r="A693" s="33" t="str">
        <f>IFERROR(__xludf.DUMMYFUNCTION("""COMPUTED_VALUE"""),"Debt")</f>
        <v>Debt</v>
      </c>
      <c r="B693" s="33" t="str">
        <f>IFERROR(__xludf.DUMMYFUNCTION("""COMPUTED_VALUE"""),"Groceries")</f>
        <v>Groceries</v>
      </c>
      <c r="C693" s="33" t="str">
        <f>IFERROR(__xludf.DUMMYFUNCTION("""COMPUTED_VALUE"""),"Healthcare")</f>
        <v>Healthcare</v>
      </c>
      <c r="D693" s="33" t="str">
        <f>IFERROR(__xludf.DUMMYFUNCTION("""COMPUTED_VALUE"""),"Household Items")</f>
        <v>Household Items</v>
      </c>
      <c r="E693" s="33" t="str">
        <f>IFERROR(__xludf.DUMMYFUNCTION("""COMPUTED_VALUE"""),"Housing")</f>
        <v>Housing</v>
      </c>
      <c r="F693" s="33" t="str">
        <f>IFERROR(__xludf.DUMMYFUNCTION("""COMPUTED_VALUE"""),"Miscellaneous")</f>
        <v>Miscellaneous</v>
      </c>
      <c r="G693" s="33" t="str">
        <f>IFERROR(__xludf.DUMMYFUNCTION("""COMPUTED_VALUE"""),"Pet")</f>
        <v>Pet</v>
      </c>
      <c r="H693" s="33" t="str">
        <f>IFERROR(__xludf.DUMMYFUNCTION("""COMPUTED_VALUE"""),"Transportation")</f>
        <v>Transportation</v>
      </c>
      <c r="I693" s="33"/>
      <c r="J693" s="33"/>
      <c r="K693" s="33"/>
    </row>
    <row r="694">
      <c r="A694" s="33" t="str">
        <f>IFERROR(__xludf.DUMMYFUNCTION("""COMPUTED_VALUE"""),"Debt")</f>
        <v>Debt</v>
      </c>
      <c r="B694" s="33" t="str">
        <f>IFERROR(__xludf.DUMMYFUNCTION("""COMPUTED_VALUE"""),"Groceries")</f>
        <v>Groceries</v>
      </c>
      <c r="C694" s="33" t="str">
        <f>IFERROR(__xludf.DUMMYFUNCTION("""COMPUTED_VALUE"""),"Healthcare")</f>
        <v>Healthcare</v>
      </c>
      <c r="D694" s="33" t="str">
        <f>IFERROR(__xludf.DUMMYFUNCTION("""COMPUTED_VALUE"""),"Household Items")</f>
        <v>Household Items</v>
      </c>
      <c r="E694" s="33" t="str">
        <f>IFERROR(__xludf.DUMMYFUNCTION("""COMPUTED_VALUE"""),"Housing")</f>
        <v>Housing</v>
      </c>
      <c r="F694" s="33" t="str">
        <f>IFERROR(__xludf.DUMMYFUNCTION("""COMPUTED_VALUE"""),"Miscellaneous")</f>
        <v>Miscellaneous</v>
      </c>
      <c r="G694" s="33" t="str">
        <f>IFERROR(__xludf.DUMMYFUNCTION("""COMPUTED_VALUE"""),"Pet")</f>
        <v>Pet</v>
      </c>
      <c r="H694" s="33" t="str">
        <f>IFERROR(__xludf.DUMMYFUNCTION("""COMPUTED_VALUE"""),"Transportation")</f>
        <v>Transportation</v>
      </c>
      <c r="I694" s="33"/>
      <c r="J694" s="33"/>
      <c r="K694" s="33"/>
    </row>
    <row r="695">
      <c r="A695" s="33" t="str">
        <f>IFERROR(__xludf.DUMMYFUNCTION("""COMPUTED_VALUE"""),"Debt")</f>
        <v>Debt</v>
      </c>
      <c r="B695" s="33" t="str">
        <f>IFERROR(__xludf.DUMMYFUNCTION("""COMPUTED_VALUE"""),"Groceries")</f>
        <v>Groceries</v>
      </c>
      <c r="C695" s="33" t="str">
        <f>IFERROR(__xludf.DUMMYFUNCTION("""COMPUTED_VALUE"""),"Healthcare")</f>
        <v>Healthcare</v>
      </c>
      <c r="D695" s="33" t="str">
        <f>IFERROR(__xludf.DUMMYFUNCTION("""COMPUTED_VALUE"""),"Household Items")</f>
        <v>Household Items</v>
      </c>
      <c r="E695" s="33" t="str">
        <f>IFERROR(__xludf.DUMMYFUNCTION("""COMPUTED_VALUE"""),"Housing")</f>
        <v>Housing</v>
      </c>
      <c r="F695" s="33" t="str">
        <f>IFERROR(__xludf.DUMMYFUNCTION("""COMPUTED_VALUE"""),"Miscellaneous")</f>
        <v>Miscellaneous</v>
      </c>
      <c r="G695" s="33" t="str">
        <f>IFERROR(__xludf.DUMMYFUNCTION("""COMPUTED_VALUE"""),"Pet")</f>
        <v>Pet</v>
      </c>
      <c r="H695" s="33" t="str">
        <f>IFERROR(__xludf.DUMMYFUNCTION("""COMPUTED_VALUE"""),"Transportation")</f>
        <v>Transportation</v>
      </c>
      <c r="I695" s="33"/>
      <c r="J695" s="33"/>
      <c r="K695" s="33"/>
    </row>
    <row r="696">
      <c r="A696" s="33" t="str">
        <f>IFERROR(__xludf.DUMMYFUNCTION("""COMPUTED_VALUE"""),"Debt")</f>
        <v>Debt</v>
      </c>
      <c r="B696" s="33" t="str">
        <f>IFERROR(__xludf.DUMMYFUNCTION("""COMPUTED_VALUE"""),"Groceries")</f>
        <v>Groceries</v>
      </c>
      <c r="C696" s="33" t="str">
        <f>IFERROR(__xludf.DUMMYFUNCTION("""COMPUTED_VALUE"""),"Healthcare")</f>
        <v>Healthcare</v>
      </c>
      <c r="D696" s="33" t="str">
        <f>IFERROR(__xludf.DUMMYFUNCTION("""COMPUTED_VALUE"""),"Household Items")</f>
        <v>Household Items</v>
      </c>
      <c r="E696" s="33" t="str">
        <f>IFERROR(__xludf.DUMMYFUNCTION("""COMPUTED_VALUE"""),"Housing")</f>
        <v>Housing</v>
      </c>
      <c r="F696" s="33" t="str">
        <f>IFERROR(__xludf.DUMMYFUNCTION("""COMPUTED_VALUE"""),"Miscellaneous")</f>
        <v>Miscellaneous</v>
      </c>
      <c r="G696" s="33" t="str">
        <f>IFERROR(__xludf.DUMMYFUNCTION("""COMPUTED_VALUE"""),"Pet")</f>
        <v>Pet</v>
      </c>
      <c r="H696" s="33" t="str">
        <f>IFERROR(__xludf.DUMMYFUNCTION("""COMPUTED_VALUE"""),"Transportation")</f>
        <v>Transportation</v>
      </c>
      <c r="I696" s="33"/>
      <c r="J696" s="33"/>
      <c r="K696" s="33"/>
    </row>
    <row r="697">
      <c r="A697" s="33" t="str">
        <f>IFERROR(__xludf.DUMMYFUNCTION("""COMPUTED_VALUE"""),"Debt")</f>
        <v>Debt</v>
      </c>
      <c r="B697" s="33" t="str">
        <f>IFERROR(__xludf.DUMMYFUNCTION("""COMPUTED_VALUE"""),"Groceries")</f>
        <v>Groceries</v>
      </c>
      <c r="C697" s="33" t="str">
        <f>IFERROR(__xludf.DUMMYFUNCTION("""COMPUTED_VALUE"""),"Healthcare")</f>
        <v>Healthcare</v>
      </c>
      <c r="D697" s="33" t="str">
        <f>IFERROR(__xludf.DUMMYFUNCTION("""COMPUTED_VALUE"""),"Household Items")</f>
        <v>Household Items</v>
      </c>
      <c r="E697" s="33" t="str">
        <f>IFERROR(__xludf.DUMMYFUNCTION("""COMPUTED_VALUE"""),"Housing")</f>
        <v>Housing</v>
      </c>
      <c r="F697" s="33" t="str">
        <f>IFERROR(__xludf.DUMMYFUNCTION("""COMPUTED_VALUE"""),"Miscellaneous")</f>
        <v>Miscellaneous</v>
      </c>
      <c r="G697" s="33" t="str">
        <f>IFERROR(__xludf.DUMMYFUNCTION("""COMPUTED_VALUE"""),"Pet")</f>
        <v>Pet</v>
      </c>
      <c r="H697" s="33" t="str">
        <f>IFERROR(__xludf.DUMMYFUNCTION("""COMPUTED_VALUE"""),"Transportation")</f>
        <v>Transportation</v>
      </c>
      <c r="I697" s="33"/>
      <c r="J697" s="33"/>
      <c r="K697" s="33"/>
    </row>
    <row r="698">
      <c r="A698" s="33" t="str">
        <f>IFERROR(__xludf.DUMMYFUNCTION("""COMPUTED_VALUE"""),"Debt")</f>
        <v>Debt</v>
      </c>
      <c r="B698" s="33" t="str">
        <f>IFERROR(__xludf.DUMMYFUNCTION("""COMPUTED_VALUE"""),"Groceries")</f>
        <v>Groceries</v>
      </c>
      <c r="C698" s="33" t="str">
        <f>IFERROR(__xludf.DUMMYFUNCTION("""COMPUTED_VALUE"""),"Healthcare")</f>
        <v>Healthcare</v>
      </c>
      <c r="D698" s="33" t="str">
        <f>IFERROR(__xludf.DUMMYFUNCTION("""COMPUTED_VALUE"""),"Household Items")</f>
        <v>Household Items</v>
      </c>
      <c r="E698" s="33" t="str">
        <f>IFERROR(__xludf.DUMMYFUNCTION("""COMPUTED_VALUE"""),"Housing")</f>
        <v>Housing</v>
      </c>
      <c r="F698" s="33" t="str">
        <f>IFERROR(__xludf.DUMMYFUNCTION("""COMPUTED_VALUE"""),"Miscellaneous")</f>
        <v>Miscellaneous</v>
      </c>
      <c r="G698" s="33" t="str">
        <f>IFERROR(__xludf.DUMMYFUNCTION("""COMPUTED_VALUE"""),"Pet")</f>
        <v>Pet</v>
      </c>
      <c r="H698" s="33" t="str">
        <f>IFERROR(__xludf.DUMMYFUNCTION("""COMPUTED_VALUE"""),"Transportation")</f>
        <v>Transportation</v>
      </c>
      <c r="I698" s="33"/>
      <c r="J698" s="33"/>
      <c r="K698" s="33"/>
    </row>
    <row r="699">
      <c r="A699" s="33" t="str">
        <f>IFERROR(__xludf.DUMMYFUNCTION("""COMPUTED_VALUE"""),"Debt")</f>
        <v>Debt</v>
      </c>
      <c r="B699" s="33" t="str">
        <f>IFERROR(__xludf.DUMMYFUNCTION("""COMPUTED_VALUE"""),"Groceries")</f>
        <v>Groceries</v>
      </c>
      <c r="C699" s="33" t="str">
        <f>IFERROR(__xludf.DUMMYFUNCTION("""COMPUTED_VALUE"""),"Healthcare")</f>
        <v>Healthcare</v>
      </c>
      <c r="D699" s="33" t="str">
        <f>IFERROR(__xludf.DUMMYFUNCTION("""COMPUTED_VALUE"""),"Household Items")</f>
        <v>Household Items</v>
      </c>
      <c r="E699" s="33" t="str">
        <f>IFERROR(__xludf.DUMMYFUNCTION("""COMPUTED_VALUE"""),"Housing")</f>
        <v>Housing</v>
      </c>
      <c r="F699" s="33" t="str">
        <f>IFERROR(__xludf.DUMMYFUNCTION("""COMPUTED_VALUE"""),"Miscellaneous")</f>
        <v>Miscellaneous</v>
      </c>
      <c r="G699" s="33" t="str">
        <f>IFERROR(__xludf.DUMMYFUNCTION("""COMPUTED_VALUE"""),"Pet")</f>
        <v>Pet</v>
      </c>
      <c r="H699" s="33" t="str">
        <f>IFERROR(__xludf.DUMMYFUNCTION("""COMPUTED_VALUE"""),"Transportation")</f>
        <v>Transportation</v>
      </c>
      <c r="I699" s="33"/>
      <c r="J699" s="33"/>
      <c r="K699" s="33"/>
    </row>
    <row r="700">
      <c r="A700" s="33" t="str">
        <f>IFERROR(__xludf.DUMMYFUNCTION("""COMPUTED_VALUE"""),"Debt")</f>
        <v>Debt</v>
      </c>
      <c r="B700" s="33" t="str">
        <f>IFERROR(__xludf.DUMMYFUNCTION("""COMPUTED_VALUE"""),"Groceries")</f>
        <v>Groceries</v>
      </c>
      <c r="C700" s="33" t="str">
        <f>IFERROR(__xludf.DUMMYFUNCTION("""COMPUTED_VALUE"""),"Healthcare")</f>
        <v>Healthcare</v>
      </c>
      <c r="D700" s="33" t="str">
        <f>IFERROR(__xludf.DUMMYFUNCTION("""COMPUTED_VALUE"""),"Household Items")</f>
        <v>Household Items</v>
      </c>
      <c r="E700" s="33" t="str">
        <f>IFERROR(__xludf.DUMMYFUNCTION("""COMPUTED_VALUE"""),"Housing")</f>
        <v>Housing</v>
      </c>
      <c r="F700" s="33" t="str">
        <f>IFERROR(__xludf.DUMMYFUNCTION("""COMPUTED_VALUE"""),"Miscellaneous")</f>
        <v>Miscellaneous</v>
      </c>
      <c r="G700" s="33" t="str">
        <f>IFERROR(__xludf.DUMMYFUNCTION("""COMPUTED_VALUE"""),"Pet")</f>
        <v>Pet</v>
      </c>
      <c r="H700" s="33" t="str">
        <f>IFERROR(__xludf.DUMMYFUNCTION("""COMPUTED_VALUE"""),"Transportation")</f>
        <v>Transportation</v>
      </c>
      <c r="I700" s="33"/>
      <c r="J700" s="33"/>
      <c r="K700" s="33"/>
    </row>
    <row r="701">
      <c r="A701" s="33" t="str">
        <f>IFERROR(__xludf.DUMMYFUNCTION("""COMPUTED_VALUE"""),"Clothing")</f>
        <v>Clothing</v>
      </c>
      <c r="B701" s="33" t="str">
        <f>IFERROR(__xludf.DUMMYFUNCTION("""COMPUTED_VALUE"""),"Gaming")</f>
        <v>Gaming</v>
      </c>
      <c r="C701" s="33" t="str">
        <f>IFERROR(__xludf.DUMMYFUNCTION("""COMPUTED_VALUE"""),"Gifts")</f>
        <v>Gifts</v>
      </c>
      <c r="D701" s="33" t="str">
        <f>IFERROR(__xludf.DUMMYFUNCTION("""COMPUTED_VALUE"""),"Healthcare")</f>
        <v>Healthcare</v>
      </c>
      <c r="E701" s="33" t="str">
        <f>IFERROR(__xludf.DUMMYFUNCTION("""COMPUTED_VALUE"""),"Hobbies")</f>
        <v>Hobbies</v>
      </c>
      <c r="F701" s="33" t="str">
        <f>IFERROR(__xludf.DUMMYFUNCTION("""COMPUTED_VALUE"""),"Subscriptions")</f>
        <v>Subscriptions</v>
      </c>
      <c r="G701" s="33"/>
      <c r="H701" s="33"/>
      <c r="I701" s="33"/>
      <c r="J701" s="33"/>
      <c r="K701" s="33"/>
    </row>
    <row r="702">
      <c r="A702" s="33" t="str">
        <f>IFERROR(__xludf.DUMMYFUNCTION("""COMPUTED_VALUE"""),"Deposit")</f>
        <v>Deposit</v>
      </c>
      <c r="B702" s="33" t="str">
        <f>IFERROR(__xludf.DUMMYFUNCTION("""COMPUTED_VALUE"""),"Withdrawal")</f>
        <v>Withdrawal</v>
      </c>
      <c r="C702" s="33"/>
      <c r="D702" s="33"/>
      <c r="E702" s="33"/>
      <c r="F702" s="33"/>
      <c r="G702" s="33"/>
      <c r="H702" s="33"/>
      <c r="I702" s="33"/>
      <c r="J702" s="33"/>
      <c r="K702" s="33"/>
    </row>
    <row r="703">
      <c r="A703" s="33" t="str">
        <f>IFERROR(__xludf.DUMMYFUNCTION("""COMPUTED_VALUE"""),"Deposit")</f>
        <v>Deposit</v>
      </c>
      <c r="B703" s="33" t="str">
        <f>IFERROR(__xludf.DUMMYFUNCTION("""COMPUTED_VALUE"""),"Withdrawal")</f>
        <v>Withdrawal</v>
      </c>
      <c r="C703" s="33"/>
      <c r="D703" s="33"/>
      <c r="E703" s="33"/>
      <c r="F703" s="33"/>
      <c r="G703" s="33"/>
      <c r="H703" s="33"/>
      <c r="I703" s="33"/>
      <c r="J703" s="33"/>
      <c r="K703" s="33"/>
    </row>
    <row r="704">
      <c r="A704" s="33" t="str">
        <f>IFERROR(__xludf.DUMMYFUNCTION("""COMPUTED_VALUE"""),"Dining Out")</f>
        <v>Dining Out</v>
      </c>
      <c r="B704" s="33" t="str">
        <f>IFERROR(__xludf.DUMMYFUNCTION("""COMPUTED_VALUE"""),"Entertainment")</f>
        <v>Entertainment</v>
      </c>
      <c r="C704" s="33" t="str">
        <f>IFERROR(__xludf.DUMMYFUNCTION("""COMPUTED_VALUE"""),"Gaming")</f>
        <v>Gaming</v>
      </c>
      <c r="D704" s="33" t="str">
        <f>IFERROR(__xludf.DUMMYFUNCTION("""COMPUTED_VALUE"""),"Gifts")</f>
        <v>Gifts</v>
      </c>
      <c r="E704" s="33" t="str">
        <f>IFERROR(__xludf.DUMMYFUNCTION("""COMPUTED_VALUE"""),"Groceries")</f>
        <v>Groceries</v>
      </c>
      <c r="F704" s="33" t="str">
        <f>IFERROR(__xludf.DUMMYFUNCTION("""COMPUTED_VALUE"""),"Healthcare")</f>
        <v>Healthcare</v>
      </c>
      <c r="G704" s="33" t="str">
        <f>IFERROR(__xludf.DUMMYFUNCTION("""COMPUTED_VALUE"""),"Hobbies")</f>
        <v>Hobbies</v>
      </c>
      <c r="H704" s="33" t="str">
        <f>IFERROR(__xludf.DUMMYFUNCTION("""COMPUTED_VALUE"""),"Household Items")</f>
        <v>Household Items</v>
      </c>
      <c r="I704" s="33" t="str">
        <f>IFERROR(__xludf.DUMMYFUNCTION("""COMPUTED_VALUE"""),"Subscriptions")</f>
        <v>Subscriptions</v>
      </c>
      <c r="J704" s="33" t="str">
        <f>IFERROR(__xludf.DUMMYFUNCTION("""COMPUTED_VALUE"""),"Transportation")</f>
        <v>Transportation</v>
      </c>
      <c r="K704" s="33" t="str">
        <f>IFERROR(__xludf.DUMMYFUNCTION("""COMPUTED_VALUE"""),"Travel")</f>
        <v>Travel</v>
      </c>
    </row>
    <row r="705">
      <c r="A705" s="33" t="str">
        <f>IFERROR(__xludf.DUMMYFUNCTION("""COMPUTED_VALUE"""),"Debt")</f>
        <v>Debt</v>
      </c>
      <c r="B705" s="33" t="str">
        <f>IFERROR(__xludf.DUMMYFUNCTION("""COMPUTED_VALUE"""),"Groceries")</f>
        <v>Groceries</v>
      </c>
      <c r="C705" s="33" t="str">
        <f>IFERROR(__xludf.DUMMYFUNCTION("""COMPUTED_VALUE"""),"Healthcare")</f>
        <v>Healthcare</v>
      </c>
      <c r="D705" s="33" t="str">
        <f>IFERROR(__xludf.DUMMYFUNCTION("""COMPUTED_VALUE"""),"Household Items")</f>
        <v>Household Items</v>
      </c>
      <c r="E705" s="33" t="str">
        <f>IFERROR(__xludf.DUMMYFUNCTION("""COMPUTED_VALUE"""),"Housing")</f>
        <v>Housing</v>
      </c>
      <c r="F705" s="33" t="str">
        <f>IFERROR(__xludf.DUMMYFUNCTION("""COMPUTED_VALUE"""),"Miscellaneous")</f>
        <v>Miscellaneous</v>
      </c>
      <c r="G705" s="33" t="str">
        <f>IFERROR(__xludf.DUMMYFUNCTION("""COMPUTED_VALUE"""),"Pet")</f>
        <v>Pet</v>
      </c>
      <c r="H705" s="33" t="str">
        <f>IFERROR(__xludf.DUMMYFUNCTION("""COMPUTED_VALUE"""),"Transportation")</f>
        <v>Transportation</v>
      </c>
      <c r="I705" s="33"/>
      <c r="J705" s="33"/>
      <c r="K705" s="33"/>
    </row>
    <row r="706">
      <c r="A706" s="33" t="str">
        <f>IFERROR(__xludf.DUMMYFUNCTION("""COMPUTED_VALUE"""),"Debt")</f>
        <v>Debt</v>
      </c>
      <c r="B706" s="33" t="str">
        <f>IFERROR(__xludf.DUMMYFUNCTION("""COMPUTED_VALUE"""),"Groceries")</f>
        <v>Groceries</v>
      </c>
      <c r="C706" s="33" t="str">
        <f>IFERROR(__xludf.DUMMYFUNCTION("""COMPUTED_VALUE"""),"Healthcare")</f>
        <v>Healthcare</v>
      </c>
      <c r="D706" s="33" t="str">
        <f>IFERROR(__xludf.DUMMYFUNCTION("""COMPUTED_VALUE"""),"Household Items")</f>
        <v>Household Items</v>
      </c>
      <c r="E706" s="33" t="str">
        <f>IFERROR(__xludf.DUMMYFUNCTION("""COMPUTED_VALUE"""),"Housing")</f>
        <v>Housing</v>
      </c>
      <c r="F706" s="33" t="str">
        <f>IFERROR(__xludf.DUMMYFUNCTION("""COMPUTED_VALUE"""),"Miscellaneous")</f>
        <v>Miscellaneous</v>
      </c>
      <c r="G706" s="33" t="str">
        <f>IFERROR(__xludf.DUMMYFUNCTION("""COMPUTED_VALUE"""),"Pet")</f>
        <v>Pet</v>
      </c>
      <c r="H706" s="33" t="str">
        <f>IFERROR(__xludf.DUMMYFUNCTION("""COMPUTED_VALUE"""),"Transportation")</f>
        <v>Transportation</v>
      </c>
      <c r="I706" s="33"/>
      <c r="J706" s="33"/>
      <c r="K706" s="33"/>
    </row>
    <row r="707">
      <c r="A707" s="33" t="str">
        <f>IFERROR(__xludf.DUMMYFUNCTION("""COMPUTED_VALUE"""),"Debt")</f>
        <v>Debt</v>
      </c>
      <c r="B707" s="33" t="str">
        <f>IFERROR(__xludf.DUMMYFUNCTION("""COMPUTED_VALUE"""),"Groceries")</f>
        <v>Groceries</v>
      </c>
      <c r="C707" s="33" t="str">
        <f>IFERROR(__xludf.DUMMYFUNCTION("""COMPUTED_VALUE"""),"Healthcare")</f>
        <v>Healthcare</v>
      </c>
      <c r="D707" s="33" t="str">
        <f>IFERROR(__xludf.DUMMYFUNCTION("""COMPUTED_VALUE"""),"Household Items")</f>
        <v>Household Items</v>
      </c>
      <c r="E707" s="33" t="str">
        <f>IFERROR(__xludf.DUMMYFUNCTION("""COMPUTED_VALUE"""),"Housing")</f>
        <v>Housing</v>
      </c>
      <c r="F707" s="33" t="str">
        <f>IFERROR(__xludf.DUMMYFUNCTION("""COMPUTED_VALUE"""),"Miscellaneous")</f>
        <v>Miscellaneous</v>
      </c>
      <c r="G707" s="33" t="str">
        <f>IFERROR(__xludf.DUMMYFUNCTION("""COMPUTED_VALUE"""),"Pet")</f>
        <v>Pet</v>
      </c>
      <c r="H707" s="33" t="str">
        <f>IFERROR(__xludf.DUMMYFUNCTION("""COMPUTED_VALUE"""),"Transportation")</f>
        <v>Transportation</v>
      </c>
      <c r="I707" s="33"/>
      <c r="J707" s="33"/>
      <c r="K707" s="33"/>
    </row>
    <row r="708">
      <c r="A708" s="33" t="str">
        <f>IFERROR(__xludf.DUMMYFUNCTION("""COMPUTED_VALUE"""),"Debt")</f>
        <v>Debt</v>
      </c>
      <c r="B708" s="33" t="str">
        <f>IFERROR(__xludf.DUMMYFUNCTION("""COMPUTED_VALUE"""),"Groceries")</f>
        <v>Groceries</v>
      </c>
      <c r="C708" s="33" t="str">
        <f>IFERROR(__xludf.DUMMYFUNCTION("""COMPUTED_VALUE"""),"Healthcare")</f>
        <v>Healthcare</v>
      </c>
      <c r="D708" s="33" t="str">
        <f>IFERROR(__xludf.DUMMYFUNCTION("""COMPUTED_VALUE"""),"Household Items")</f>
        <v>Household Items</v>
      </c>
      <c r="E708" s="33" t="str">
        <f>IFERROR(__xludf.DUMMYFUNCTION("""COMPUTED_VALUE"""),"Housing")</f>
        <v>Housing</v>
      </c>
      <c r="F708" s="33" t="str">
        <f>IFERROR(__xludf.DUMMYFUNCTION("""COMPUTED_VALUE"""),"Miscellaneous")</f>
        <v>Miscellaneous</v>
      </c>
      <c r="G708" s="33" t="str">
        <f>IFERROR(__xludf.DUMMYFUNCTION("""COMPUTED_VALUE"""),"Pet")</f>
        <v>Pet</v>
      </c>
      <c r="H708" s="33" t="str">
        <f>IFERROR(__xludf.DUMMYFUNCTION("""COMPUTED_VALUE"""),"Transportation")</f>
        <v>Transportation</v>
      </c>
      <c r="I708" s="33"/>
      <c r="J708" s="33"/>
      <c r="K708" s="33"/>
    </row>
    <row r="709">
      <c r="A709" s="33" t="str">
        <f>IFERROR(__xludf.DUMMYFUNCTION("""COMPUTED_VALUE"""),"Debt")</f>
        <v>Debt</v>
      </c>
      <c r="B709" s="33" t="str">
        <f>IFERROR(__xludf.DUMMYFUNCTION("""COMPUTED_VALUE"""),"Groceries")</f>
        <v>Groceries</v>
      </c>
      <c r="C709" s="33" t="str">
        <f>IFERROR(__xludf.DUMMYFUNCTION("""COMPUTED_VALUE"""),"Healthcare")</f>
        <v>Healthcare</v>
      </c>
      <c r="D709" s="33" t="str">
        <f>IFERROR(__xludf.DUMMYFUNCTION("""COMPUTED_VALUE"""),"Household Items")</f>
        <v>Household Items</v>
      </c>
      <c r="E709" s="33" t="str">
        <f>IFERROR(__xludf.DUMMYFUNCTION("""COMPUTED_VALUE"""),"Housing")</f>
        <v>Housing</v>
      </c>
      <c r="F709" s="33" t="str">
        <f>IFERROR(__xludf.DUMMYFUNCTION("""COMPUTED_VALUE"""),"Miscellaneous")</f>
        <v>Miscellaneous</v>
      </c>
      <c r="G709" s="33" t="str">
        <f>IFERROR(__xludf.DUMMYFUNCTION("""COMPUTED_VALUE"""),"Pet")</f>
        <v>Pet</v>
      </c>
      <c r="H709" s="33" t="str">
        <f>IFERROR(__xludf.DUMMYFUNCTION("""COMPUTED_VALUE"""),"Transportation")</f>
        <v>Transportation</v>
      </c>
      <c r="I709" s="33"/>
      <c r="J709" s="33"/>
      <c r="K709" s="33"/>
    </row>
    <row r="710">
      <c r="A710" s="33" t="str">
        <f>IFERROR(__xludf.DUMMYFUNCTION("""COMPUTED_VALUE"""),"Debt")</f>
        <v>Debt</v>
      </c>
      <c r="B710" s="33" t="str">
        <f>IFERROR(__xludf.DUMMYFUNCTION("""COMPUTED_VALUE"""),"Groceries")</f>
        <v>Groceries</v>
      </c>
      <c r="C710" s="33" t="str">
        <f>IFERROR(__xludf.DUMMYFUNCTION("""COMPUTED_VALUE"""),"Healthcare")</f>
        <v>Healthcare</v>
      </c>
      <c r="D710" s="33" t="str">
        <f>IFERROR(__xludf.DUMMYFUNCTION("""COMPUTED_VALUE"""),"Household Items")</f>
        <v>Household Items</v>
      </c>
      <c r="E710" s="33" t="str">
        <f>IFERROR(__xludf.DUMMYFUNCTION("""COMPUTED_VALUE"""),"Housing")</f>
        <v>Housing</v>
      </c>
      <c r="F710" s="33" t="str">
        <f>IFERROR(__xludf.DUMMYFUNCTION("""COMPUTED_VALUE"""),"Miscellaneous")</f>
        <v>Miscellaneous</v>
      </c>
      <c r="G710" s="33" t="str">
        <f>IFERROR(__xludf.DUMMYFUNCTION("""COMPUTED_VALUE"""),"Pet")</f>
        <v>Pet</v>
      </c>
      <c r="H710" s="33" t="str">
        <f>IFERROR(__xludf.DUMMYFUNCTION("""COMPUTED_VALUE"""),"Transportation")</f>
        <v>Transportation</v>
      </c>
      <c r="I710" s="33"/>
      <c r="J710" s="33"/>
      <c r="K710" s="33"/>
    </row>
    <row r="711">
      <c r="A711" s="33" t="str">
        <f>IFERROR(__xludf.DUMMYFUNCTION("""COMPUTED_VALUE"""),"Debt")</f>
        <v>Debt</v>
      </c>
      <c r="B711" s="33" t="str">
        <f>IFERROR(__xludf.DUMMYFUNCTION("""COMPUTED_VALUE"""),"Groceries")</f>
        <v>Groceries</v>
      </c>
      <c r="C711" s="33" t="str">
        <f>IFERROR(__xludf.DUMMYFUNCTION("""COMPUTED_VALUE"""),"Healthcare")</f>
        <v>Healthcare</v>
      </c>
      <c r="D711" s="33" t="str">
        <f>IFERROR(__xludf.DUMMYFUNCTION("""COMPUTED_VALUE"""),"Household Items")</f>
        <v>Household Items</v>
      </c>
      <c r="E711" s="33" t="str">
        <f>IFERROR(__xludf.DUMMYFUNCTION("""COMPUTED_VALUE"""),"Housing")</f>
        <v>Housing</v>
      </c>
      <c r="F711" s="33" t="str">
        <f>IFERROR(__xludf.DUMMYFUNCTION("""COMPUTED_VALUE"""),"Miscellaneous")</f>
        <v>Miscellaneous</v>
      </c>
      <c r="G711" s="33" t="str">
        <f>IFERROR(__xludf.DUMMYFUNCTION("""COMPUTED_VALUE"""),"Pet")</f>
        <v>Pet</v>
      </c>
      <c r="H711" s="33" t="str">
        <f>IFERROR(__xludf.DUMMYFUNCTION("""COMPUTED_VALUE"""),"Transportation")</f>
        <v>Transportation</v>
      </c>
      <c r="I711" s="33"/>
      <c r="J711" s="33"/>
      <c r="K711" s="33"/>
    </row>
    <row r="712">
      <c r="A712" s="33" t="str">
        <f>IFERROR(__xludf.DUMMYFUNCTION("""COMPUTED_VALUE"""),"Boarding")</f>
        <v>Boarding</v>
      </c>
      <c r="B712" s="33" t="str">
        <f>IFERROR(__xludf.DUMMYFUNCTION("""COMPUTED_VALUE"""),"Clothing")</f>
        <v>Clothing</v>
      </c>
      <c r="C712" s="33" t="str">
        <f>IFERROR(__xludf.DUMMYFUNCTION("""COMPUTED_VALUE"""),"Daycare")</f>
        <v>Daycare</v>
      </c>
      <c r="D712" s="33" t="str">
        <f>IFERROR(__xludf.DUMMYFUNCTION("""COMPUTED_VALUE"""),"Grooming")</f>
        <v>Grooming</v>
      </c>
      <c r="E712" s="33" t="str">
        <f>IFERROR(__xludf.DUMMYFUNCTION("""COMPUTED_VALUE"""),"Toys")</f>
        <v>Toys</v>
      </c>
      <c r="F712" s="33" t="str">
        <f>IFERROR(__xludf.DUMMYFUNCTION("""COMPUTED_VALUE"""),"Treats")</f>
        <v>Treats</v>
      </c>
      <c r="G712" s="33"/>
      <c r="H712" s="33"/>
      <c r="I712" s="33"/>
      <c r="J712" s="33"/>
      <c r="K712" s="33"/>
    </row>
    <row r="713">
      <c r="A713" s="33" t="str">
        <f>IFERROR(__xludf.DUMMYFUNCTION("""COMPUTED_VALUE"""),"Clothing")</f>
        <v>Clothing</v>
      </c>
      <c r="B713" s="33" t="str">
        <f>IFERROR(__xludf.DUMMYFUNCTION("""COMPUTED_VALUE"""),"Gifts")</f>
        <v>Gifts</v>
      </c>
      <c r="C713" s="33" t="str">
        <f>IFERROR(__xludf.DUMMYFUNCTION("""COMPUTED_VALUE"""),"Healthcare")</f>
        <v>Healthcare</v>
      </c>
      <c r="D713" s="33" t="str">
        <f>IFERROR(__xludf.DUMMYFUNCTION("""COMPUTED_VALUE"""),"Hobbies")</f>
        <v>Hobbies</v>
      </c>
      <c r="E713" s="33" t="str">
        <f>IFERROR(__xludf.DUMMYFUNCTION("""COMPUTED_VALUE"""),"Organization")</f>
        <v>Organization</v>
      </c>
      <c r="F713" s="33"/>
      <c r="G713" s="33"/>
      <c r="H713" s="33"/>
      <c r="I713" s="33"/>
      <c r="J713" s="33"/>
      <c r="K713" s="33"/>
    </row>
    <row r="714">
      <c r="A714" s="33" t="str">
        <f>IFERROR(__xludf.DUMMYFUNCTION("""COMPUTED_VALUE"""),"Cashback")</f>
        <v>Cashback</v>
      </c>
      <c r="B714" s="33" t="str">
        <f>IFERROR(__xludf.DUMMYFUNCTION("""COMPUTED_VALUE"""),"Investment Returns")</f>
        <v>Investment Returns</v>
      </c>
      <c r="C714" s="33" t="str">
        <f>IFERROR(__xludf.DUMMYFUNCTION("""COMPUTED_VALUE"""),"Paycheck")</f>
        <v>Paycheck</v>
      </c>
      <c r="D714" s="33" t="str">
        <f>IFERROR(__xludf.DUMMYFUNCTION("""COMPUTED_VALUE"""),"Reimbursement")</f>
        <v>Reimbursement</v>
      </c>
      <c r="E714" s="33" t="str">
        <f>IFERROR(__xludf.DUMMYFUNCTION("""COMPUTED_VALUE"""),"Rewards")</f>
        <v>Rewards</v>
      </c>
      <c r="F714" s="33"/>
      <c r="G714" s="33"/>
      <c r="H714" s="33"/>
      <c r="I714" s="33"/>
      <c r="J714" s="33"/>
      <c r="K714" s="33"/>
    </row>
    <row r="715">
      <c r="A715" s="33" t="str">
        <f>IFERROR(__xludf.DUMMYFUNCTION("""COMPUTED_VALUE"""),"Cashback")</f>
        <v>Cashback</v>
      </c>
      <c r="B715" s="33" t="str">
        <f>IFERROR(__xludf.DUMMYFUNCTION("""COMPUTED_VALUE"""),"Investment Returns")</f>
        <v>Investment Returns</v>
      </c>
      <c r="C715" s="33" t="str">
        <f>IFERROR(__xludf.DUMMYFUNCTION("""COMPUTED_VALUE"""),"Paycheck")</f>
        <v>Paycheck</v>
      </c>
      <c r="D715" s="33" t="str">
        <f>IFERROR(__xludf.DUMMYFUNCTION("""COMPUTED_VALUE"""),"Reimbursement")</f>
        <v>Reimbursement</v>
      </c>
      <c r="E715" s="33" t="str">
        <f>IFERROR(__xludf.DUMMYFUNCTION("""COMPUTED_VALUE"""),"Rewards")</f>
        <v>Rewards</v>
      </c>
      <c r="F715" s="33"/>
      <c r="G715" s="33"/>
      <c r="H715" s="33"/>
      <c r="I715" s="33"/>
      <c r="J715" s="33"/>
      <c r="K715" s="33"/>
    </row>
    <row r="716">
      <c r="A716" s="33" t="str">
        <f>IFERROR(__xludf.DUMMYFUNCTION("""COMPUTED_VALUE"""),"Deposit")</f>
        <v>Deposit</v>
      </c>
      <c r="B716" s="33" t="str">
        <f>IFERROR(__xludf.DUMMYFUNCTION("""COMPUTED_VALUE"""),"Withdrawal")</f>
        <v>Withdrawal</v>
      </c>
      <c r="C716" s="33"/>
      <c r="D716" s="33"/>
      <c r="E716" s="33"/>
      <c r="F716" s="33"/>
      <c r="G716" s="33"/>
      <c r="H716" s="33"/>
      <c r="I716" s="33"/>
      <c r="J716" s="33"/>
      <c r="K716" s="33"/>
    </row>
    <row r="717">
      <c r="A717" s="33" t="str">
        <f>IFERROR(__xludf.DUMMYFUNCTION("""COMPUTED_VALUE"""),"Deposit")</f>
        <v>Deposit</v>
      </c>
      <c r="B717" s="33" t="str">
        <f>IFERROR(__xludf.DUMMYFUNCTION("""COMPUTED_VALUE"""),"Withdrawal")</f>
        <v>Withdrawal</v>
      </c>
      <c r="C717" s="33"/>
      <c r="D717" s="33"/>
      <c r="E717" s="33"/>
      <c r="F717" s="33"/>
      <c r="G717" s="33"/>
      <c r="H717" s="33"/>
      <c r="I717" s="33"/>
      <c r="J717" s="33"/>
      <c r="K717" s="33"/>
    </row>
    <row r="718">
      <c r="A718" s="33" t="str">
        <f>IFERROR(__xludf.DUMMYFUNCTION("""COMPUTED_VALUE"""),"Dining Out")</f>
        <v>Dining Out</v>
      </c>
      <c r="B718" s="33" t="str">
        <f>IFERROR(__xludf.DUMMYFUNCTION("""COMPUTED_VALUE"""),"Entertainment")</f>
        <v>Entertainment</v>
      </c>
      <c r="C718" s="33" t="str">
        <f>IFERROR(__xludf.DUMMYFUNCTION("""COMPUTED_VALUE"""),"Gaming")</f>
        <v>Gaming</v>
      </c>
      <c r="D718" s="33" t="str">
        <f>IFERROR(__xludf.DUMMYFUNCTION("""COMPUTED_VALUE"""),"Gifts")</f>
        <v>Gifts</v>
      </c>
      <c r="E718" s="33" t="str">
        <f>IFERROR(__xludf.DUMMYFUNCTION("""COMPUTED_VALUE"""),"Groceries")</f>
        <v>Groceries</v>
      </c>
      <c r="F718" s="33" t="str">
        <f>IFERROR(__xludf.DUMMYFUNCTION("""COMPUTED_VALUE"""),"Healthcare")</f>
        <v>Healthcare</v>
      </c>
      <c r="G718" s="33" t="str">
        <f>IFERROR(__xludf.DUMMYFUNCTION("""COMPUTED_VALUE"""),"Hobbies")</f>
        <v>Hobbies</v>
      </c>
      <c r="H718" s="33" t="str">
        <f>IFERROR(__xludf.DUMMYFUNCTION("""COMPUTED_VALUE"""),"Household Items")</f>
        <v>Household Items</v>
      </c>
      <c r="I718" s="33" t="str">
        <f>IFERROR(__xludf.DUMMYFUNCTION("""COMPUTED_VALUE"""),"Subscriptions")</f>
        <v>Subscriptions</v>
      </c>
      <c r="J718" s="33" t="str">
        <f>IFERROR(__xludf.DUMMYFUNCTION("""COMPUTED_VALUE"""),"Transportation")</f>
        <v>Transportation</v>
      </c>
      <c r="K718" s="33" t="str">
        <f>IFERROR(__xludf.DUMMYFUNCTION("""COMPUTED_VALUE"""),"Travel")</f>
        <v>Travel</v>
      </c>
    </row>
    <row r="719">
      <c r="A719" s="33" t="str">
        <f>IFERROR(__xludf.DUMMYFUNCTION("""COMPUTED_VALUE"""),"Debt")</f>
        <v>Debt</v>
      </c>
      <c r="B719" s="33" t="str">
        <f>IFERROR(__xludf.DUMMYFUNCTION("""COMPUTED_VALUE"""),"Groceries")</f>
        <v>Groceries</v>
      </c>
      <c r="C719" s="33" t="str">
        <f>IFERROR(__xludf.DUMMYFUNCTION("""COMPUTED_VALUE"""),"Healthcare")</f>
        <v>Healthcare</v>
      </c>
      <c r="D719" s="33" t="str">
        <f>IFERROR(__xludf.DUMMYFUNCTION("""COMPUTED_VALUE"""),"Household Items")</f>
        <v>Household Items</v>
      </c>
      <c r="E719" s="33" t="str">
        <f>IFERROR(__xludf.DUMMYFUNCTION("""COMPUTED_VALUE"""),"Housing")</f>
        <v>Housing</v>
      </c>
      <c r="F719" s="33" t="str">
        <f>IFERROR(__xludf.DUMMYFUNCTION("""COMPUTED_VALUE"""),"Miscellaneous")</f>
        <v>Miscellaneous</v>
      </c>
      <c r="G719" s="33" t="str">
        <f>IFERROR(__xludf.DUMMYFUNCTION("""COMPUTED_VALUE"""),"Pet")</f>
        <v>Pet</v>
      </c>
      <c r="H719" s="33" t="str">
        <f>IFERROR(__xludf.DUMMYFUNCTION("""COMPUTED_VALUE"""),"Transportation")</f>
        <v>Transportation</v>
      </c>
      <c r="I719" s="33"/>
      <c r="J719" s="33"/>
      <c r="K719" s="33"/>
    </row>
    <row r="720">
      <c r="A720" s="33" t="str">
        <f>IFERROR(__xludf.DUMMYFUNCTION("""COMPUTED_VALUE"""),"Dining Out")</f>
        <v>Dining Out</v>
      </c>
      <c r="B720" s="33" t="str">
        <f>IFERROR(__xludf.DUMMYFUNCTION("""COMPUTED_VALUE"""),"Entertainment")</f>
        <v>Entertainment</v>
      </c>
      <c r="C720" s="33" t="str">
        <f>IFERROR(__xludf.DUMMYFUNCTION("""COMPUTED_VALUE"""),"Gaming")</f>
        <v>Gaming</v>
      </c>
      <c r="D720" s="33" t="str">
        <f>IFERROR(__xludf.DUMMYFUNCTION("""COMPUTED_VALUE"""),"Gifts")</f>
        <v>Gifts</v>
      </c>
      <c r="E720" s="33" t="str">
        <f>IFERROR(__xludf.DUMMYFUNCTION("""COMPUTED_VALUE"""),"Groceries")</f>
        <v>Groceries</v>
      </c>
      <c r="F720" s="33" t="str">
        <f>IFERROR(__xludf.DUMMYFUNCTION("""COMPUTED_VALUE"""),"Healthcare")</f>
        <v>Healthcare</v>
      </c>
      <c r="G720" s="33" t="str">
        <f>IFERROR(__xludf.DUMMYFUNCTION("""COMPUTED_VALUE"""),"Hobbies")</f>
        <v>Hobbies</v>
      </c>
      <c r="H720" s="33" t="str">
        <f>IFERROR(__xludf.DUMMYFUNCTION("""COMPUTED_VALUE"""),"Household Items")</f>
        <v>Household Items</v>
      </c>
      <c r="I720" s="33" t="str">
        <f>IFERROR(__xludf.DUMMYFUNCTION("""COMPUTED_VALUE"""),"Subscriptions")</f>
        <v>Subscriptions</v>
      </c>
      <c r="J720" s="33" t="str">
        <f>IFERROR(__xludf.DUMMYFUNCTION("""COMPUTED_VALUE"""),"Transportation")</f>
        <v>Transportation</v>
      </c>
      <c r="K720" s="33" t="str">
        <f>IFERROR(__xludf.DUMMYFUNCTION("""COMPUTED_VALUE"""),"Travel")</f>
        <v>Travel</v>
      </c>
    </row>
    <row r="721">
      <c r="A721" s="33" t="str">
        <f>IFERROR(__xludf.DUMMYFUNCTION("""COMPUTED_VALUE"""),"Debt")</f>
        <v>Debt</v>
      </c>
      <c r="B721" s="33" t="str">
        <f>IFERROR(__xludf.DUMMYFUNCTION("""COMPUTED_VALUE"""),"Groceries")</f>
        <v>Groceries</v>
      </c>
      <c r="C721" s="33" t="str">
        <f>IFERROR(__xludf.DUMMYFUNCTION("""COMPUTED_VALUE"""),"Healthcare")</f>
        <v>Healthcare</v>
      </c>
      <c r="D721" s="33" t="str">
        <f>IFERROR(__xludf.DUMMYFUNCTION("""COMPUTED_VALUE"""),"Household Items")</f>
        <v>Household Items</v>
      </c>
      <c r="E721" s="33" t="str">
        <f>IFERROR(__xludf.DUMMYFUNCTION("""COMPUTED_VALUE"""),"Housing")</f>
        <v>Housing</v>
      </c>
      <c r="F721" s="33" t="str">
        <f>IFERROR(__xludf.DUMMYFUNCTION("""COMPUTED_VALUE"""),"Miscellaneous")</f>
        <v>Miscellaneous</v>
      </c>
      <c r="G721" s="33" t="str">
        <f>IFERROR(__xludf.DUMMYFUNCTION("""COMPUTED_VALUE"""),"Pet")</f>
        <v>Pet</v>
      </c>
      <c r="H721" s="33" t="str">
        <f>IFERROR(__xludf.DUMMYFUNCTION("""COMPUTED_VALUE"""),"Transportation")</f>
        <v>Transportation</v>
      </c>
      <c r="I721" s="33"/>
      <c r="J721" s="33"/>
      <c r="K721" s="33"/>
    </row>
    <row r="722">
      <c r="A722" s="33" t="str">
        <f>IFERROR(__xludf.DUMMYFUNCTION("""COMPUTED_VALUE"""),"Debt")</f>
        <v>Debt</v>
      </c>
      <c r="B722" s="33" t="str">
        <f>IFERROR(__xludf.DUMMYFUNCTION("""COMPUTED_VALUE"""),"Groceries")</f>
        <v>Groceries</v>
      </c>
      <c r="C722" s="33" t="str">
        <f>IFERROR(__xludf.DUMMYFUNCTION("""COMPUTED_VALUE"""),"Healthcare")</f>
        <v>Healthcare</v>
      </c>
      <c r="D722" s="33" t="str">
        <f>IFERROR(__xludf.DUMMYFUNCTION("""COMPUTED_VALUE"""),"Household Items")</f>
        <v>Household Items</v>
      </c>
      <c r="E722" s="33" t="str">
        <f>IFERROR(__xludf.DUMMYFUNCTION("""COMPUTED_VALUE"""),"Housing")</f>
        <v>Housing</v>
      </c>
      <c r="F722" s="33" t="str">
        <f>IFERROR(__xludf.DUMMYFUNCTION("""COMPUTED_VALUE"""),"Miscellaneous")</f>
        <v>Miscellaneous</v>
      </c>
      <c r="G722" s="33" t="str">
        <f>IFERROR(__xludf.DUMMYFUNCTION("""COMPUTED_VALUE"""),"Pet")</f>
        <v>Pet</v>
      </c>
      <c r="H722" s="33" t="str">
        <f>IFERROR(__xludf.DUMMYFUNCTION("""COMPUTED_VALUE"""),"Transportation")</f>
        <v>Transportation</v>
      </c>
      <c r="I722" s="33"/>
      <c r="J722" s="33"/>
      <c r="K722" s="33"/>
    </row>
    <row r="723">
      <c r="A723" s="33" t="str">
        <f>IFERROR(__xludf.DUMMYFUNCTION("""COMPUTED_VALUE"""),"Debt")</f>
        <v>Debt</v>
      </c>
      <c r="B723" s="33" t="str">
        <f>IFERROR(__xludf.DUMMYFUNCTION("""COMPUTED_VALUE"""),"Groceries")</f>
        <v>Groceries</v>
      </c>
      <c r="C723" s="33" t="str">
        <f>IFERROR(__xludf.DUMMYFUNCTION("""COMPUTED_VALUE"""),"Healthcare")</f>
        <v>Healthcare</v>
      </c>
      <c r="D723" s="33" t="str">
        <f>IFERROR(__xludf.DUMMYFUNCTION("""COMPUTED_VALUE"""),"Household Items")</f>
        <v>Household Items</v>
      </c>
      <c r="E723" s="33" t="str">
        <f>IFERROR(__xludf.DUMMYFUNCTION("""COMPUTED_VALUE"""),"Housing")</f>
        <v>Housing</v>
      </c>
      <c r="F723" s="33" t="str">
        <f>IFERROR(__xludf.DUMMYFUNCTION("""COMPUTED_VALUE"""),"Miscellaneous")</f>
        <v>Miscellaneous</v>
      </c>
      <c r="G723" s="33" t="str">
        <f>IFERROR(__xludf.DUMMYFUNCTION("""COMPUTED_VALUE"""),"Pet")</f>
        <v>Pet</v>
      </c>
      <c r="H723" s="33" t="str">
        <f>IFERROR(__xludf.DUMMYFUNCTION("""COMPUTED_VALUE"""),"Transportation")</f>
        <v>Transportation</v>
      </c>
      <c r="I723" s="33"/>
      <c r="J723" s="33"/>
      <c r="K723" s="33"/>
    </row>
    <row r="724">
      <c r="A724" s="33" t="str">
        <f>IFERROR(__xludf.DUMMYFUNCTION("""COMPUTED_VALUE"""),"Debt")</f>
        <v>Debt</v>
      </c>
      <c r="B724" s="33" t="str">
        <f>IFERROR(__xludf.DUMMYFUNCTION("""COMPUTED_VALUE"""),"Groceries")</f>
        <v>Groceries</v>
      </c>
      <c r="C724" s="33" t="str">
        <f>IFERROR(__xludf.DUMMYFUNCTION("""COMPUTED_VALUE"""),"Healthcare")</f>
        <v>Healthcare</v>
      </c>
      <c r="D724" s="33" t="str">
        <f>IFERROR(__xludf.DUMMYFUNCTION("""COMPUTED_VALUE"""),"Household Items")</f>
        <v>Household Items</v>
      </c>
      <c r="E724" s="33" t="str">
        <f>IFERROR(__xludf.DUMMYFUNCTION("""COMPUTED_VALUE"""),"Housing")</f>
        <v>Housing</v>
      </c>
      <c r="F724" s="33" t="str">
        <f>IFERROR(__xludf.DUMMYFUNCTION("""COMPUTED_VALUE"""),"Miscellaneous")</f>
        <v>Miscellaneous</v>
      </c>
      <c r="G724" s="33" t="str">
        <f>IFERROR(__xludf.DUMMYFUNCTION("""COMPUTED_VALUE"""),"Pet")</f>
        <v>Pet</v>
      </c>
      <c r="H724" s="33" t="str">
        <f>IFERROR(__xludf.DUMMYFUNCTION("""COMPUTED_VALUE"""),"Transportation")</f>
        <v>Transportation</v>
      </c>
      <c r="I724" s="33"/>
      <c r="J724" s="33"/>
      <c r="K724" s="33"/>
    </row>
    <row r="725">
      <c r="A725" s="33" t="str">
        <f>IFERROR(__xludf.DUMMYFUNCTION("""COMPUTED_VALUE"""),"Deposit")</f>
        <v>Deposit</v>
      </c>
      <c r="B725" s="33" t="str">
        <f>IFERROR(__xludf.DUMMYFUNCTION("""COMPUTED_VALUE"""),"Withdrawal")</f>
        <v>Withdrawal</v>
      </c>
      <c r="C725" s="33"/>
      <c r="D725" s="33"/>
      <c r="E725" s="33"/>
      <c r="F725" s="33"/>
      <c r="G725" s="33"/>
      <c r="H725" s="33"/>
      <c r="I725" s="33"/>
      <c r="J725" s="33"/>
      <c r="K725" s="33"/>
    </row>
    <row r="726">
      <c r="A726" s="33" t="str">
        <f>IFERROR(__xludf.DUMMYFUNCTION("""COMPUTED_VALUE"""),"Deposit")</f>
        <v>Deposit</v>
      </c>
      <c r="B726" s="33" t="str">
        <f>IFERROR(__xludf.DUMMYFUNCTION("""COMPUTED_VALUE"""),"Withdrawal")</f>
        <v>Withdrawal</v>
      </c>
      <c r="C726" s="33"/>
      <c r="D726" s="33"/>
      <c r="E726" s="33"/>
      <c r="F726" s="33"/>
      <c r="G726" s="33"/>
      <c r="H726" s="33"/>
      <c r="I726" s="33"/>
      <c r="J726" s="33"/>
      <c r="K726" s="33"/>
    </row>
    <row r="727">
      <c r="A727" s="33" t="str">
        <f>IFERROR(__xludf.DUMMYFUNCTION("""COMPUTED_VALUE"""),"Cashback")</f>
        <v>Cashback</v>
      </c>
      <c r="B727" s="33" t="str">
        <f>IFERROR(__xludf.DUMMYFUNCTION("""COMPUTED_VALUE"""),"Investment Returns")</f>
        <v>Investment Returns</v>
      </c>
      <c r="C727" s="33" t="str">
        <f>IFERROR(__xludf.DUMMYFUNCTION("""COMPUTED_VALUE"""),"Paycheck")</f>
        <v>Paycheck</v>
      </c>
      <c r="D727" s="33" t="str">
        <f>IFERROR(__xludf.DUMMYFUNCTION("""COMPUTED_VALUE"""),"Reimbursement")</f>
        <v>Reimbursement</v>
      </c>
      <c r="E727" s="33" t="str">
        <f>IFERROR(__xludf.DUMMYFUNCTION("""COMPUTED_VALUE"""),"Rewards")</f>
        <v>Rewards</v>
      </c>
      <c r="F727" s="33"/>
      <c r="G727" s="33"/>
      <c r="H727" s="33"/>
      <c r="I727" s="33"/>
      <c r="J727" s="33"/>
      <c r="K727" s="33"/>
    </row>
    <row r="728">
      <c r="A728" s="33" t="str">
        <f>IFERROR(__xludf.DUMMYFUNCTION("""COMPUTED_VALUE"""),"Cashback")</f>
        <v>Cashback</v>
      </c>
      <c r="B728" s="33" t="str">
        <f>IFERROR(__xludf.DUMMYFUNCTION("""COMPUTED_VALUE"""),"Investment Returns")</f>
        <v>Investment Returns</v>
      </c>
      <c r="C728" s="33" t="str">
        <f>IFERROR(__xludf.DUMMYFUNCTION("""COMPUTED_VALUE"""),"Paycheck")</f>
        <v>Paycheck</v>
      </c>
      <c r="D728" s="33" t="str">
        <f>IFERROR(__xludf.DUMMYFUNCTION("""COMPUTED_VALUE"""),"Reimbursement")</f>
        <v>Reimbursement</v>
      </c>
      <c r="E728" s="33" t="str">
        <f>IFERROR(__xludf.DUMMYFUNCTION("""COMPUTED_VALUE"""),"Rewards")</f>
        <v>Rewards</v>
      </c>
      <c r="F728" s="33"/>
      <c r="G728" s="33"/>
      <c r="H728" s="33"/>
      <c r="I728" s="33"/>
      <c r="J728" s="33"/>
      <c r="K728" s="33"/>
    </row>
    <row r="729">
      <c r="A729" s="33" t="str">
        <f>IFERROR(__xludf.DUMMYFUNCTION("""COMPUTED_VALUE"""),"FHSA")</f>
        <v>FHSA</v>
      </c>
      <c r="B729" s="33" t="str">
        <f>IFERROR(__xludf.DUMMYFUNCTION("""COMPUTED_VALUE"""),"RRSP")</f>
        <v>RRSP</v>
      </c>
      <c r="C729" s="33" t="str">
        <f>IFERROR(__xludf.DUMMYFUNCTION("""COMPUTED_VALUE"""),"TFSA")</f>
        <v>TFSA</v>
      </c>
      <c r="D729" s="33"/>
      <c r="E729" s="33"/>
      <c r="F729" s="33"/>
      <c r="G729" s="33"/>
      <c r="H729" s="33"/>
      <c r="I729" s="33"/>
      <c r="J729" s="33"/>
      <c r="K729" s="33"/>
    </row>
    <row r="730">
      <c r="A730" s="33" t="str">
        <f>IFERROR(__xludf.DUMMYFUNCTION("""COMPUTED_VALUE"""),"Deposit")</f>
        <v>Deposit</v>
      </c>
      <c r="B730" s="33" t="str">
        <f>IFERROR(__xludf.DUMMYFUNCTION("""COMPUTED_VALUE"""),"Withdrawal")</f>
        <v>Withdrawal</v>
      </c>
      <c r="C730" s="33"/>
      <c r="D730" s="33"/>
      <c r="E730" s="33"/>
      <c r="F730" s="33"/>
      <c r="G730" s="33"/>
      <c r="H730" s="33"/>
      <c r="I730" s="33"/>
      <c r="J730" s="33"/>
      <c r="K730" s="33"/>
    </row>
    <row r="731">
      <c r="A731" s="33" t="str">
        <f>IFERROR(__xludf.DUMMYFUNCTION("""COMPUTED_VALUE"""),"FHSA")</f>
        <v>FHSA</v>
      </c>
      <c r="B731" s="33" t="str">
        <f>IFERROR(__xludf.DUMMYFUNCTION("""COMPUTED_VALUE"""),"RRSP")</f>
        <v>RRSP</v>
      </c>
      <c r="C731" s="33" t="str">
        <f>IFERROR(__xludf.DUMMYFUNCTION("""COMPUTED_VALUE"""),"TFSA")</f>
        <v>TFSA</v>
      </c>
      <c r="D731" s="33"/>
      <c r="E731" s="33"/>
      <c r="F731" s="33"/>
      <c r="G731" s="33"/>
      <c r="H731" s="33"/>
      <c r="I731" s="33"/>
      <c r="J731" s="33"/>
      <c r="K731" s="33"/>
    </row>
    <row r="732">
      <c r="A732" s="33" t="str">
        <f>IFERROR(__xludf.DUMMYFUNCTION("""COMPUTED_VALUE"""),"Deposit")</f>
        <v>Deposit</v>
      </c>
      <c r="B732" s="33" t="str">
        <f>IFERROR(__xludf.DUMMYFUNCTION("""COMPUTED_VALUE"""),"Withdrawal")</f>
        <v>Withdrawal</v>
      </c>
      <c r="C732" s="33"/>
      <c r="D732" s="33"/>
      <c r="E732" s="33"/>
      <c r="F732" s="33"/>
      <c r="G732" s="33"/>
      <c r="H732" s="33"/>
      <c r="I732" s="33"/>
      <c r="J732" s="33"/>
      <c r="K732" s="33"/>
    </row>
    <row r="733">
      <c r="A733" s="33" t="str">
        <f>IFERROR(__xludf.DUMMYFUNCTION("""COMPUTED_VALUE"""),"Deposit")</f>
        <v>Deposit</v>
      </c>
      <c r="B733" s="33" t="str">
        <f>IFERROR(__xludf.DUMMYFUNCTION("""COMPUTED_VALUE"""),"Withdrawal")</f>
        <v>Withdrawal</v>
      </c>
      <c r="C733" s="33"/>
      <c r="D733" s="33"/>
      <c r="E733" s="33"/>
      <c r="F733" s="33"/>
      <c r="G733" s="33"/>
      <c r="H733" s="33"/>
      <c r="I733" s="33"/>
      <c r="J733" s="33"/>
      <c r="K733" s="33"/>
    </row>
    <row r="734">
      <c r="A734" s="33" t="str">
        <f>IFERROR(__xludf.DUMMYFUNCTION("""COMPUTED_VALUE"""),"Deposit")</f>
        <v>Deposit</v>
      </c>
      <c r="B734" s="33" t="str">
        <f>IFERROR(__xludf.DUMMYFUNCTION("""COMPUTED_VALUE"""),"Withdrawal")</f>
        <v>Withdrawal</v>
      </c>
      <c r="C734" s="33"/>
      <c r="D734" s="33"/>
      <c r="E734" s="33"/>
      <c r="F734" s="33"/>
      <c r="G734" s="33"/>
      <c r="H734" s="33"/>
      <c r="I734" s="33"/>
      <c r="J734" s="33"/>
      <c r="K734" s="33"/>
    </row>
    <row r="735">
      <c r="A735" s="33" t="str">
        <f>IFERROR(__xludf.DUMMYFUNCTION("""COMPUTED_VALUE"""),"Debt")</f>
        <v>Debt</v>
      </c>
      <c r="B735" s="33" t="str">
        <f>IFERROR(__xludf.DUMMYFUNCTION("""COMPUTED_VALUE"""),"Groceries")</f>
        <v>Groceries</v>
      </c>
      <c r="C735" s="33" t="str">
        <f>IFERROR(__xludf.DUMMYFUNCTION("""COMPUTED_VALUE"""),"Healthcare")</f>
        <v>Healthcare</v>
      </c>
      <c r="D735" s="33" t="str">
        <f>IFERROR(__xludf.DUMMYFUNCTION("""COMPUTED_VALUE"""),"Household Items")</f>
        <v>Household Items</v>
      </c>
      <c r="E735" s="33" t="str">
        <f>IFERROR(__xludf.DUMMYFUNCTION("""COMPUTED_VALUE"""),"Housing")</f>
        <v>Housing</v>
      </c>
      <c r="F735" s="33" t="str">
        <f>IFERROR(__xludf.DUMMYFUNCTION("""COMPUTED_VALUE"""),"Miscellaneous")</f>
        <v>Miscellaneous</v>
      </c>
      <c r="G735" s="33" t="str">
        <f>IFERROR(__xludf.DUMMYFUNCTION("""COMPUTED_VALUE"""),"Pet")</f>
        <v>Pet</v>
      </c>
      <c r="H735" s="33" t="str">
        <f>IFERROR(__xludf.DUMMYFUNCTION("""COMPUTED_VALUE"""),"Transportation")</f>
        <v>Transportation</v>
      </c>
      <c r="I735" s="33"/>
      <c r="J735" s="33"/>
      <c r="K735" s="33"/>
    </row>
    <row r="736">
      <c r="A736" s="33" t="str">
        <f>IFERROR(__xludf.DUMMYFUNCTION("""COMPUTED_VALUE"""),"Debt")</f>
        <v>Debt</v>
      </c>
      <c r="B736" s="33" t="str">
        <f>IFERROR(__xludf.DUMMYFUNCTION("""COMPUTED_VALUE"""),"Groceries")</f>
        <v>Groceries</v>
      </c>
      <c r="C736" s="33" t="str">
        <f>IFERROR(__xludf.DUMMYFUNCTION("""COMPUTED_VALUE"""),"Healthcare")</f>
        <v>Healthcare</v>
      </c>
      <c r="D736" s="33" t="str">
        <f>IFERROR(__xludf.DUMMYFUNCTION("""COMPUTED_VALUE"""),"Household Items")</f>
        <v>Household Items</v>
      </c>
      <c r="E736" s="33" t="str">
        <f>IFERROR(__xludf.DUMMYFUNCTION("""COMPUTED_VALUE"""),"Housing")</f>
        <v>Housing</v>
      </c>
      <c r="F736" s="33" t="str">
        <f>IFERROR(__xludf.DUMMYFUNCTION("""COMPUTED_VALUE"""),"Miscellaneous")</f>
        <v>Miscellaneous</v>
      </c>
      <c r="G736" s="33" t="str">
        <f>IFERROR(__xludf.DUMMYFUNCTION("""COMPUTED_VALUE"""),"Pet")</f>
        <v>Pet</v>
      </c>
      <c r="H736" s="33" t="str">
        <f>IFERROR(__xludf.DUMMYFUNCTION("""COMPUTED_VALUE"""),"Transportation")</f>
        <v>Transportation</v>
      </c>
      <c r="I736" s="33"/>
      <c r="J736" s="33"/>
      <c r="K736" s="33"/>
    </row>
    <row r="737">
      <c r="A737" s="33" t="str">
        <f>IFERROR(__xludf.DUMMYFUNCTION("""COMPUTED_VALUE"""),"Debt")</f>
        <v>Debt</v>
      </c>
      <c r="B737" s="33" t="str">
        <f>IFERROR(__xludf.DUMMYFUNCTION("""COMPUTED_VALUE"""),"Groceries")</f>
        <v>Groceries</v>
      </c>
      <c r="C737" s="33" t="str">
        <f>IFERROR(__xludf.DUMMYFUNCTION("""COMPUTED_VALUE"""),"Healthcare")</f>
        <v>Healthcare</v>
      </c>
      <c r="D737" s="33" t="str">
        <f>IFERROR(__xludf.DUMMYFUNCTION("""COMPUTED_VALUE"""),"Household Items")</f>
        <v>Household Items</v>
      </c>
      <c r="E737" s="33" t="str">
        <f>IFERROR(__xludf.DUMMYFUNCTION("""COMPUTED_VALUE"""),"Housing")</f>
        <v>Housing</v>
      </c>
      <c r="F737" s="33" t="str">
        <f>IFERROR(__xludf.DUMMYFUNCTION("""COMPUTED_VALUE"""),"Miscellaneous")</f>
        <v>Miscellaneous</v>
      </c>
      <c r="G737" s="33" t="str">
        <f>IFERROR(__xludf.DUMMYFUNCTION("""COMPUTED_VALUE"""),"Pet")</f>
        <v>Pet</v>
      </c>
      <c r="H737" s="33" t="str">
        <f>IFERROR(__xludf.DUMMYFUNCTION("""COMPUTED_VALUE"""),"Transportation")</f>
        <v>Transportation</v>
      </c>
      <c r="I737" s="33"/>
      <c r="J737" s="33"/>
      <c r="K737" s="33"/>
    </row>
    <row r="738">
      <c r="A738" s="33" t="str">
        <f>IFERROR(__xludf.DUMMYFUNCTION("""COMPUTED_VALUE"""),"Debt")</f>
        <v>Debt</v>
      </c>
      <c r="B738" s="33" t="str">
        <f>IFERROR(__xludf.DUMMYFUNCTION("""COMPUTED_VALUE"""),"Groceries")</f>
        <v>Groceries</v>
      </c>
      <c r="C738" s="33" t="str">
        <f>IFERROR(__xludf.DUMMYFUNCTION("""COMPUTED_VALUE"""),"Healthcare")</f>
        <v>Healthcare</v>
      </c>
      <c r="D738" s="33" t="str">
        <f>IFERROR(__xludf.DUMMYFUNCTION("""COMPUTED_VALUE"""),"Household Items")</f>
        <v>Household Items</v>
      </c>
      <c r="E738" s="33" t="str">
        <f>IFERROR(__xludf.DUMMYFUNCTION("""COMPUTED_VALUE"""),"Housing")</f>
        <v>Housing</v>
      </c>
      <c r="F738" s="33" t="str">
        <f>IFERROR(__xludf.DUMMYFUNCTION("""COMPUTED_VALUE"""),"Miscellaneous")</f>
        <v>Miscellaneous</v>
      </c>
      <c r="G738" s="33" t="str">
        <f>IFERROR(__xludf.DUMMYFUNCTION("""COMPUTED_VALUE"""),"Pet")</f>
        <v>Pet</v>
      </c>
      <c r="H738" s="33" t="str">
        <f>IFERROR(__xludf.DUMMYFUNCTION("""COMPUTED_VALUE"""),"Transportation")</f>
        <v>Transportation</v>
      </c>
      <c r="I738" s="33"/>
      <c r="J738" s="33"/>
      <c r="K738" s="33"/>
    </row>
    <row r="739">
      <c r="A739" s="33" t="str">
        <f>IFERROR(__xludf.DUMMYFUNCTION("""COMPUTED_VALUE"""),"Debt")</f>
        <v>Debt</v>
      </c>
      <c r="B739" s="33" t="str">
        <f>IFERROR(__xludf.DUMMYFUNCTION("""COMPUTED_VALUE"""),"Groceries")</f>
        <v>Groceries</v>
      </c>
      <c r="C739" s="33" t="str">
        <f>IFERROR(__xludf.DUMMYFUNCTION("""COMPUTED_VALUE"""),"Healthcare")</f>
        <v>Healthcare</v>
      </c>
      <c r="D739" s="33" t="str">
        <f>IFERROR(__xludf.DUMMYFUNCTION("""COMPUTED_VALUE"""),"Household Items")</f>
        <v>Household Items</v>
      </c>
      <c r="E739" s="33" t="str">
        <f>IFERROR(__xludf.DUMMYFUNCTION("""COMPUTED_VALUE"""),"Housing")</f>
        <v>Housing</v>
      </c>
      <c r="F739" s="33" t="str">
        <f>IFERROR(__xludf.DUMMYFUNCTION("""COMPUTED_VALUE"""),"Miscellaneous")</f>
        <v>Miscellaneous</v>
      </c>
      <c r="G739" s="33" t="str">
        <f>IFERROR(__xludf.DUMMYFUNCTION("""COMPUTED_VALUE"""),"Pet")</f>
        <v>Pet</v>
      </c>
      <c r="H739" s="33" t="str">
        <f>IFERROR(__xludf.DUMMYFUNCTION("""COMPUTED_VALUE"""),"Transportation")</f>
        <v>Transportation</v>
      </c>
      <c r="I739" s="33"/>
      <c r="J739" s="33"/>
      <c r="K739" s="33"/>
    </row>
    <row r="740">
      <c r="A740" s="33" t="str">
        <f>IFERROR(__xludf.DUMMYFUNCTION("""COMPUTED_VALUE"""),"Debt")</f>
        <v>Debt</v>
      </c>
      <c r="B740" s="33" t="str">
        <f>IFERROR(__xludf.DUMMYFUNCTION("""COMPUTED_VALUE"""),"Groceries")</f>
        <v>Groceries</v>
      </c>
      <c r="C740" s="33" t="str">
        <f>IFERROR(__xludf.DUMMYFUNCTION("""COMPUTED_VALUE"""),"Healthcare")</f>
        <v>Healthcare</v>
      </c>
      <c r="D740" s="33" t="str">
        <f>IFERROR(__xludf.DUMMYFUNCTION("""COMPUTED_VALUE"""),"Household Items")</f>
        <v>Household Items</v>
      </c>
      <c r="E740" s="33" t="str">
        <f>IFERROR(__xludf.DUMMYFUNCTION("""COMPUTED_VALUE"""),"Housing")</f>
        <v>Housing</v>
      </c>
      <c r="F740" s="33" t="str">
        <f>IFERROR(__xludf.DUMMYFUNCTION("""COMPUTED_VALUE"""),"Miscellaneous")</f>
        <v>Miscellaneous</v>
      </c>
      <c r="G740" s="33" t="str">
        <f>IFERROR(__xludf.DUMMYFUNCTION("""COMPUTED_VALUE"""),"Pet")</f>
        <v>Pet</v>
      </c>
      <c r="H740" s="33" t="str">
        <f>IFERROR(__xludf.DUMMYFUNCTION("""COMPUTED_VALUE"""),"Transportation")</f>
        <v>Transportation</v>
      </c>
      <c r="I740" s="33"/>
      <c r="J740" s="33"/>
      <c r="K740" s="33"/>
    </row>
    <row r="741">
      <c r="A741" s="33" t="str">
        <f>IFERROR(__xludf.DUMMYFUNCTION("""COMPUTED_VALUE"""),"Debt")</f>
        <v>Debt</v>
      </c>
      <c r="B741" s="33" t="str">
        <f>IFERROR(__xludf.DUMMYFUNCTION("""COMPUTED_VALUE"""),"Groceries")</f>
        <v>Groceries</v>
      </c>
      <c r="C741" s="33" t="str">
        <f>IFERROR(__xludf.DUMMYFUNCTION("""COMPUTED_VALUE"""),"Healthcare")</f>
        <v>Healthcare</v>
      </c>
      <c r="D741" s="33" t="str">
        <f>IFERROR(__xludf.DUMMYFUNCTION("""COMPUTED_VALUE"""),"Household Items")</f>
        <v>Household Items</v>
      </c>
      <c r="E741" s="33" t="str">
        <f>IFERROR(__xludf.DUMMYFUNCTION("""COMPUTED_VALUE"""),"Housing")</f>
        <v>Housing</v>
      </c>
      <c r="F741" s="33" t="str">
        <f>IFERROR(__xludf.DUMMYFUNCTION("""COMPUTED_VALUE"""),"Miscellaneous")</f>
        <v>Miscellaneous</v>
      </c>
      <c r="G741" s="33" t="str">
        <f>IFERROR(__xludf.DUMMYFUNCTION("""COMPUTED_VALUE"""),"Pet")</f>
        <v>Pet</v>
      </c>
      <c r="H741" s="33" t="str">
        <f>IFERROR(__xludf.DUMMYFUNCTION("""COMPUTED_VALUE"""),"Transportation")</f>
        <v>Transportation</v>
      </c>
      <c r="I741" s="33"/>
      <c r="J741" s="33"/>
      <c r="K741" s="33"/>
    </row>
    <row r="742">
      <c r="A742" s="33" t="str">
        <f>IFERROR(__xludf.DUMMYFUNCTION("""COMPUTED_VALUE"""),"Debt")</f>
        <v>Debt</v>
      </c>
      <c r="B742" s="33" t="str">
        <f>IFERROR(__xludf.DUMMYFUNCTION("""COMPUTED_VALUE"""),"Groceries")</f>
        <v>Groceries</v>
      </c>
      <c r="C742" s="33" t="str">
        <f>IFERROR(__xludf.DUMMYFUNCTION("""COMPUTED_VALUE"""),"Healthcare")</f>
        <v>Healthcare</v>
      </c>
      <c r="D742" s="33" t="str">
        <f>IFERROR(__xludf.DUMMYFUNCTION("""COMPUTED_VALUE"""),"Household Items")</f>
        <v>Household Items</v>
      </c>
      <c r="E742" s="33" t="str">
        <f>IFERROR(__xludf.DUMMYFUNCTION("""COMPUTED_VALUE"""),"Housing")</f>
        <v>Housing</v>
      </c>
      <c r="F742" s="33" t="str">
        <f>IFERROR(__xludf.DUMMYFUNCTION("""COMPUTED_VALUE"""),"Miscellaneous")</f>
        <v>Miscellaneous</v>
      </c>
      <c r="G742" s="33" t="str">
        <f>IFERROR(__xludf.DUMMYFUNCTION("""COMPUTED_VALUE"""),"Pet")</f>
        <v>Pet</v>
      </c>
      <c r="H742" s="33" t="str">
        <f>IFERROR(__xludf.DUMMYFUNCTION("""COMPUTED_VALUE"""),"Transportation")</f>
        <v>Transportation</v>
      </c>
      <c r="I742" s="33"/>
      <c r="J742" s="33"/>
      <c r="K742" s="33"/>
    </row>
    <row r="743">
      <c r="A743" s="33" t="str">
        <f>IFERROR(__xludf.DUMMYFUNCTION("""COMPUTED_VALUE"""),"Debt")</f>
        <v>Debt</v>
      </c>
      <c r="B743" s="33" t="str">
        <f>IFERROR(__xludf.DUMMYFUNCTION("""COMPUTED_VALUE"""),"Groceries")</f>
        <v>Groceries</v>
      </c>
      <c r="C743" s="33" t="str">
        <f>IFERROR(__xludf.DUMMYFUNCTION("""COMPUTED_VALUE"""),"Healthcare")</f>
        <v>Healthcare</v>
      </c>
      <c r="D743" s="33" t="str">
        <f>IFERROR(__xludf.DUMMYFUNCTION("""COMPUTED_VALUE"""),"Household Items")</f>
        <v>Household Items</v>
      </c>
      <c r="E743" s="33" t="str">
        <f>IFERROR(__xludf.DUMMYFUNCTION("""COMPUTED_VALUE"""),"Housing")</f>
        <v>Housing</v>
      </c>
      <c r="F743" s="33" t="str">
        <f>IFERROR(__xludf.DUMMYFUNCTION("""COMPUTED_VALUE"""),"Miscellaneous")</f>
        <v>Miscellaneous</v>
      </c>
      <c r="G743" s="33" t="str">
        <f>IFERROR(__xludf.DUMMYFUNCTION("""COMPUTED_VALUE"""),"Pet")</f>
        <v>Pet</v>
      </c>
      <c r="H743" s="33" t="str">
        <f>IFERROR(__xludf.DUMMYFUNCTION("""COMPUTED_VALUE"""),"Transportation")</f>
        <v>Transportation</v>
      </c>
      <c r="I743" s="33"/>
      <c r="J743" s="33"/>
      <c r="K743" s="33"/>
    </row>
    <row r="744">
      <c r="A744" s="33" t="str">
        <f>IFERROR(__xludf.DUMMYFUNCTION("""COMPUTED_VALUE"""),"Debt")</f>
        <v>Debt</v>
      </c>
      <c r="B744" s="33" t="str">
        <f>IFERROR(__xludf.DUMMYFUNCTION("""COMPUTED_VALUE"""),"Groceries")</f>
        <v>Groceries</v>
      </c>
      <c r="C744" s="33" t="str">
        <f>IFERROR(__xludf.DUMMYFUNCTION("""COMPUTED_VALUE"""),"Healthcare")</f>
        <v>Healthcare</v>
      </c>
      <c r="D744" s="33" t="str">
        <f>IFERROR(__xludf.DUMMYFUNCTION("""COMPUTED_VALUE"""),"Household Items")</f>
        <v>Household Items</v>
      </c>
      <c r="E744" s="33" t="str">
        <f>IFERROR(__xludf.DUMMYFUNCTION("""COMPUTED_VALUE"""),"Housing")</f>
        <v>Housing</v>
      </c>
      <c r="F744" s="33" t="str">
        <f>IFERROR(__xludf.DUMMYFUNCTION("""COMPUTED_VALUE"""),"Miscellaneous")</f>
        <v>Miscellaneous</v>
      </c>
      <c r="G744" s="33" t="str">
        <f>IFERROR(__xludf.DUMMYFUNCTION("""COMPUTED_VALUE"""),"Pet")</f>
        <v>Pet</v>
      </c>
      <c r="H744" s="33" t="str">
        <f>IFERROR(__xludf.DUMMYFUNCTION("""COMPUTED_VALUE"""),"Transportation")</f>
        <v>Transportation</v>
      </c>
      <c r="I744" s="33"/>
      <c r="J744" s="33"/>
      <c r="K744" s="33"/>
    </row>
    <row r="745">
      <c r="A745" s="33" t="str">
        <f>IFERROR(__xludf.DUMMYFUNCTION("""COMPUTED_VALUE"""),"Debt")</f>
        <v>Debt</v>
      </c>
      <c r="B745" s="33" t="str">
        <f>IFERROR(__xludf.DUMMYFUNCTION("""COMPUTED_VALUE"""),"Groceries")</f>
        <v>Groceries</v>
      </c>
      <c r="C745" s="33" t="str">
        <f>IFERROR(__xludf.DUMMYFUNCTION("""COMPUTED_VALUE"""),"Healthcare")</f>
        <v>Healthcare</v>
      </c>
      <c r="D745" s="33" t="str">
        <f>IFERROR(__xludf.DUMMYFUNCTION("""COMPUTED_VALUE"""),"Household Items")</f>
        <v>Household Items</v>
      </c>
      <c r="E745" s="33" t="str">
        <f>IFERROR(__xludf.DUMMYFUNCTION("""COMPUTED_VALUE"""),"Housing")</f>
        <v>Housing</v>
      </c>
      <c r="F745" s="33" t="str">
        <f>IFERROR(__xludf.DUMMYFUNCTION("""COMPUTED_VALUE"""),"Miscellaneous")</f>
        <v>Miscellaneous</v>
      </c>
      <c r="G745" s="33" t="str">
        <f>IFERROR(__xludf.DUMMYFUNCTION("""COMPUTED_VALUE"""),"Pet")</f>
        <v>Pet</v>
      </c>
      <c r="H745" s="33" t="str">
        <f>IFERROR(__xludf.DUMMYFUNCTION("""COMPUTED_VALUE"""),"Transportation")</f>
        <v>Transportation</v>
      </c>
      <c r="I745" s="33"/>
      <c r="J745" s="33"/>
      <c r="K745" s="33"/>
    </row>
    <row r="746">
      <c r="A746" s="33" t="str">
        <f>IFERROR(__xludf.DUMMYFUNCTION("""COMPUTED_VALUE"""),"Deposit")</f>
        <v>Deposit</v>
      </c>
      <c r="B746" s="33" t="str">
        <f>IFERROR(__xludf.DUMMYFUNCTION("""COMPUTED_VALUE"""),"Withdrawal")</f>
        <v>Withdrawal</v>
      </c>
      <c r="C746" s="33"/>
      <c r="D746" s="33"/>
      <c r="E746" s="33"/>
      <c r="F746" s="33"/>
      <c r="G746" s="33"/>
      <c r="H746" s="33"/>
      <c r="I746" s="33"/>
      <c r="J746" s="33"/>
      <c r="K746" s="33"/>
    </row>
    <row r="747">
      <c r="A747" s="33" t="str">
        <f>IFERROR(__xludf.DUMMYFUNCTION("""COMPUTED_VALUE"""),"Deposit")</f>
        <v>Deposit</v>
      </c>
      <c r="B747" s="33" t="str">
        <f>IFERROR(__xludf.DUMMYFUNCTION("""COMPUTED_VALUE"""),"Withdrawal")</f>
        <v>Withdrawal</v>
      </c>
      <c r="C747" s="33"/>
      <c r="D747" s="33"/>
      <c r="E747" s="33"/>
      <c r="F747" s="33"/>
      <c r="G747" s="33"/>
      <c r="H747" s="33"/>
      <c r="I747" s="33"/>
      <c r="J747" s="33"/>
      <c r="K747" s="33"/>
    </row>
    <row r="748">
      <c r="A748" s="33" t="str">
        <f>IFERROR(__xludf.DUMMYFUNCTION("""COMPUTED_VALUE"""),"Debt")</f>
        <v>Debt</v>
      </c>
      <c r="B748" s="33" t="str">
        <f>IFERROR(__xludf.DUMMYFUNCTION("""COMPUTED_VALUE"""),"Groceries")</f>
        <v>Groceries</v>
      </c>
      <c r="C748" s="33" t="str">
        <f>IFERROR(__xludf.DUMMYFUNCTION("""COMPUTED_VALUE"""),"Healthcare")</f>
        <v>Healthcare</v>
      </c>
      <c r="D748" s="33" t="str">
        <f>IFERROR(__xludf.DUMMYFUNCTION("""COMPUTED_VALUE"""),"Household Items")</f>
        <v>Household Items</v>
      </c>
      <c r="E748" s="33" t="str">
        <f>IFERROR(__xludf.DUMMYFUNCTION("""COMPUTED_VALUE"""),"Housing")</f>
        <v>Housing</v>
      </c>
      <c r="F748" s="33" t="str">
        <f>IFERROR(__xludf.DUMMYFUNCTION("""COMPUTED_VALUE"""),"Miscellaneous")</f>
        <v>Miscellaneous</v>
      </c>
      <c r="G748" s="33" t="str">
        <f>IFERROR(__xludf.DUMMYFUNCTION("""COMPUTED_VALUE"""),"Pet")</f>
        <v>Pet</v>
      </c>
      <c r="H748" s="33" t="str">
        <f>IFERROR(__xludf.DUMMYFUNCTION("""COMPUTED_VALUE"""),"Transportation")</f>
        <v>Transportation</v>
      </c>
      <c r="I748" s="33"/>
      <c r="J748" s="33"/>
      <c r="K748" s="33"/>
    </row>
    <row r="749">
      <c r="A749" s="33" t="str">
        <f>IFERROR(__xludf.DUMMYFUNCTION("""COMPUTED_VALUE"""),"Dining Out")</f>
        <v>Dining Out</v>
      </c>
      <c r="B749" s="33" t="str">
        <f>IFERROR(__xludf.DUMMYFUNCTION("""COMPUTED_VALUE"""),"Entertainment")</f>
        <v>Entertainment</v>
      </c>
      <c r="C749" s="33" t="str">
        <f>IFERROR(__xludf.DUMMYFUNCTION("""COMPUTED_VALUE"""),"Gaming")</f>
        <v>Gaming</v>
      </c>
      <c r="D749" s="33" t="str">
        <f>IFERROR(__xludf.DUMMYFUNCTION("""COMPUTED_VALUE"""),"Gifts")</f>
        <v>Gifts</v>
      </c>
      <c r="E749" s="33" t="str">
        <f>IFERROR(__xludf.DUMMYFUNCTION("""COMPUTED_VALUE"""),"Groceries")</f>
        <v>Groceries</v>
      </c>
      <c r="F749" s="33" t="str">
        <f>IFERROR(__xludf.DUMMYFUNCTION("""COMPUTED_VALUE"""),"Healthcare")</f>
        <v>Healthcare</v>
      </c>
      <c r="G749" s="33" t="str">
        <f>IFERROR(__xludf.DUMMYFUNCTION("""COMPUTED_VALUE"""),"Hobbies")</f>
        <v>Hobbies</v>
      </c>
      <c r="H749" s="33" t="str">
        <f>IFERROR(__xludf.DUMMYFUNCTION("""COMPUTED_VALUE"""),"Household Items")</f>
        <v>Household Items</v>
      </c>
      <c r="I749" s="33" t="str">
        <f>IFERROR(__xludf.DUMMYFUNCTION("""COMPUTED_VALUE"""),"Subscriptions")</f>
        <v>Subscriptions</v>
      </c>
      <c r="J749" s="33" t="str">
        <f>IFERROR(__xludf.DUMMYFUNCTION("""COMPUTED_VALUE"""),"Transportation")</f>
        <v>Transportation</v>
      </c>
      <c r="K749" s="33" t="str">
        <f>IFERROR(__xludf.DUMMYFUNCTION("""COMPUTED_VALUE"""),"Travel")</f>
        <v>Travel</v>
      </c>
    </row>
    <row r="750">
      <c r="A750" s="33" t="str">
        <f>IFERROR(__xludf.DUMMYFUNCTION("""COMPUTED_VALUE"""),"Clothing")</f>
        <v>Clothing</v>
      </c>
      <c r="B750" s="33" t="str">
        <f>IFERROR(__xludf.DUMMYFUNCTION("""COMPUTED_VALUE"""),"Gaming")</f>
        <v>Gaming</v>
      </c>
      <c r="C750" s="33" t="str">
        <f>IFERROR(__xludf.DUMMYFUNCTION("""COMPUTED_VALUE"""),"Gifts")</f>
        <v>Gifts</v>
      </c>
      <c r="D750" s="33" t="str">
        <f>IFERROR(__xludf.DUMMYFUNCTION("""COMPUTED_VALUE"""),"Healthcare")</f>
        <v>Healthcare</v>
      </c>
      <c r="E750" s="33" t="str">
        <f>IFERROR(__xludf.DUMMYFUNCTION("""COMPUTED_VALUE"""),"Hobbies")</f>
        <v>Hobbies</v>
      </c>
      <c r="F750" s="33" t="str">
        <f>IFERROR(__xludf.DUMMYFUNCTION("""COMPUTED_VALUE"""),"Subscriptions")</f>
        <v>Subscriptions</v>
      </c>
      <c r="G750" s="33"/>
      <c r="H750" s="33"/>
      <c r="I750" s="33"/>
      <c r="J750" s="33"/>
      <c r="K750" s="33"/>
    </row>
    <row r="751">
      <c r="A751" s="33" t="str">
        <f>IFERROR(__xludf.DUMMYFUNCTION("""COMPUTED_VALUE"""),"Debt")</f>
        <v>Debt</v>
      </c>
      <c r="B751" s="33" t="str">
        <f>IFERROR(__xludf.DUMMYFUNCTION("""COMPUTED_VALUE"""),"Groceries")</f>
        <v>Groceries</v>
      </c>
      <c r="C751" s="33" t="str">
        <f>IFERROR(__xludf.DUMMYFUNCTION("""COMPUTED_VALUE"""),"Healthcare")</f>
        <v>Healthcare</v>
      </c>
      <c r="D751" s="33" t="str">
        <f>IFERROR(__xludf.DUMMYFUNCTION("""COMPUTED_VALUE"""),"Household Items")</f>
        <v>Household Items</v>
      </c>
      <c r="E751" s="33" t="str">
        <f>IFERROR(__xludf.DUMMYFUNCTION("""COMPUTED_VALUE"""),"Housing")</f>
        <v>Housing</v>
      </c>
      <c r="F751" s="33" t="str">
        <f>IFERROR(__xludf.DUMMYFUNCTION("""COMPUTED_VALUE"""),"Miscellaneous")</f>
        <v>Miscellaneous</v>
      </c>
      <c r="G751" s="33" t="str">
        <f>IFERROR(__xludf.DUMMYFUNCTION("""COMPUTED_VALUE"""),"Pet")</f>
        <v>Pet</v>
      </c>
      <c r="H751" s="33" t="str">
        <f>IFERROR(__xludf.DUMMYFUNCTION("""COMPUTED_VALUE"""),"Transportation")</f>
        <v>Transportation</v>
      </c>
      <c r="I751" s="33"/>
      <c r="J751" s="33"/>
      <c r="K751" s="33"/>
    </row>
    <row r="752">
      <c r="A752" s="33" t="str">
        <f>IFERROR(__xludf.DUMMYFUNCTION("""COMPUTED_VALUE"""),"Clothing")</f>
        <v>Clothing</v>
      </c>
      <c r="B752" s="33" t="str">
        <f>IFERROR(__xludf.DUMMYFUNCTION("""COMPUTED_VALUE"""),"Gifts")</f>
        <v>Gifts</v>
      </c>
      <c r="C752" s="33" t="str">
        <f>IFERROR(__xludf.DUMMYFUNCTION("""COMPUTED_VALUE"""),"Healthcare")</f>
        <v>Healthcare</v>
      </c>
      <c r="D752" s="33" t="str">
        <f>IFERROR(__xludf.DUMMYFUNCTION("""COMPUTED_VALUE"""),"Hobbies")</f>
        <v>Hobbies</v>
      </c>
      <c r="E752" s="33" t="str">
        <f>IFERROR(__xludf.DUMMYFUNCTION("""COMPUTED_VALUE"""),"Organization")</f>
        <v>Organization</v>
      </c>
      <c r="F752" s="33"/>
      <c r="G752" s="33"/>
      <c r="H752" s="33"/>
      <c r="I752" s="33"/>
      <c r="J752" s="33"/>
      <c r="K752" s="33"/>
    </row>
    <row r="753">
      <c r="A753" s="33" t="str">
        <f>IFERROR(__xludf.DUMMYFUNCTION("""COMPUTED_VALUE"""),"Debt")</f>
        <v>Debt</v>
      </c>
      <c r="B753" s="33" t="str">
        <f>IFERROR(__xludf.DUMMYFUNCTION("""COMPUTED_VALUE"""),"Groceries")</f>
        <v>Groceries</v>
      </c>
      <c r="C753" s="33" t="str">
        <f>IFERROR(__xludf.DUMMYFUNCTION("""COMPUTED_VALUE"""),"Healthcare")</f>
        <v>Healthcare</v>
      </c>
      <c r="D753" s="33" t="str">
        <f>IFERROR(__xludf.DUMMYFUNCTION("""COMPUTED_VALUE"""),"Household Items")</f>
        <v>Household Items</v>
      </c>
      <c r="E753" s="33" t="str">
        <f>IFERROR(__xludf.DUMMYFUNCTION("""COMPUTED_VALUE"""),"Housing")</f>
        <v>Housing</v>
      </c>
      <c r="F753" s="33" t="str">
        <f>IFERROR(__xludf.DUMMYFUNCTION("""COMPUTED_VALUE"""),"Miscellaneous")</f>
        <v>Miscellaneous</v>
      </c>
      <c r="G753" s="33" t="str">
        <f>IFERROR(__xludf.DUMMYFUNCTION("""COMPUTED_VALUE"""),"Pet")</f>
        <v>Pet</v>
      </c>
      <c r="H753" s="33" t="str">
        <f>IFERROR(__xludf.DUMMYFUNCTION("""COMPUTED_VALUE"""),"Transportation")</f>
        <v>Transportation</v>
      </c>
      <c r="I753" s="33"/>
      <c r="J753" s="33"/>
      <c r="K753" s="33"/>
    </row>
    <row r="754">
      <c r="A754" s="33" t="str">
        <f>IFERROR(__xludf.DUMMYFUNCTION("""COMPUTED_VALUE"""),"Cashback")</f>
        <v>Cashback</v>
      </c>
      <c r="B754" s="33" t="str">
        <f>IFERROR(__xludf.DUMMYFUNCTION("""COMPUTED_VALUE"""),"Investment Returns")</f>
        <v>Investment Returns</v>
      </c>
      <c r="C754" s="33" t="str">
        <f>IFERROR(__xludf.DUMMYFUNCTION("""COMPUTED_VALUE"""),"Paycheck")</f>
        <v>Paycheck</v>
      </c>
      <c r="D754" s="33" t="str">
        <f>IFERROR(__xludf.DUMMYFUNCTION("""COMPUTED_VALUE"""),"Reimbursement")</f>
        <v>Reimbursement</v>
      </c>
      <c r="E754" s="33" t="str">
        <f>IFERROR(__xludf.DUMMYFUNCTION("""COMPUTED_VALUE"""),"Rewards")</f>
        <v>Rewards</v>
      </c>
      <c r="F754" s="33"/>
      <c r="G754" s="33"/>
      <c r="H754" s="33"/>
      <c r="I754" s="33"/>
      <c r="J754" s="33"/>
      <c r="K754" s="33"/>
    </row>
    <row r="755">
      <c r="A755" s="33" t="str">
        <f>IFERROR(__xludf.DUMMYFUNCTION("""COMPUTED_VALUE"""),"Debt")</f>
        <v>Debt</v>
      </c>
      <c r="B755" s="33" t="str">
        <f>IFERROR(__xludf.DUMMYFUNCTION("""COMPUTED_VALUE"""),"Groceries")</f>
        <v>Groceries</v>
      </c>
      <c r="C755" s="33" t="str">
        <f>IFERROR(__xludf.DUMMYFUNCTION("""COMPUTED_VALUE"""),"Healthcare")</f>
        <v>Healthcare</v>
      </c>
      <c r="D755" s="33" t="str">
        <f>IFERROR(__xludf.DUMMYFUNCTION("""COMPUTED_VALUE"""),"Household Items")</f>
        <v>Household Items</v>
      </c>
      <c r="E755" s="33" t="str">
        <f>IFERROR(__xludf.DUMMYFUNCTION("""COMPUTED_VALUE"""),"Housing")</f>
        <v>Housing</v>
      </c>
      <c r="F755" s="33" t="str">
        <f>IFERROR(__xludf.DUMMYFUNCTION("""COMPUTED_VALUE"""),"Miscellaneous")</f>
        <v>Miscellaneous</v>
      </c>
      <c r="G755" s="33" t="str">
        <f>IFERROR(__xludf.DUMMYFUNCTION("""COMPUTED_VALUE"""),"Pet")</f>
        <v>Pet</v>
      </c>
      <c r="H755" s="33" t="str">
        <f>IFERROR(__xludf.DUMMYFUNCTION("""COMPUTED_VALUE"""),"Transportation")</f>
        <v>Transportation</v>
      </c>
      <c r="I755" s="33"/>
      <c r="J755" s="33"/>
      <c r="K755" s="33"/>
    </row>
    <row r="756">
      <c r="A756" s="33" t="str">
        <f>IFERROR(__xludf.DUMMYFUNCTION("""COMPUTED_VALUE"""),"Debt")</f>
        <v>Debt</v>
      </c>
      <c r="B756" s="33" t="str">
        <f>IFERROR(__xludf.DUMMYFUNCTION("""COMPUTED_VALUE"""),"Groceries")</f>
        <v>Groceries</v>
      </c>
      <c r="C756" s="33" t="str">
        <f>IFERROR(__xludf.DUMMYFUNCTION("""COMPUTED_VALUE"""),"Healthcare")</f>
        <v>Healthcare</v>
      </c>
      <c r="D756" s="33" t="str">
        <f>IFERROR(__xludf.DUMMYFUNCTION("""COMPUTED_VALUE"""),"Household Items")</f>
        <v>Household Items</v>
      </c>
      <c r="E756" s="33" t="str">
        <f>IFERROR(__xludf.DUMMYFUNCTION("""COMPUTED_VALUE"""),"Housing")</f>
        <v>Housing</v>
      </c>
      <c r="F756" s="33" t="str">
        <f>IFERROR(__xludf.DUMMYFUNCTION("""COMPUTED_VALUE"""),"Miscellaneous")</f>
        <v>Miscellaneous</v>
      </c>
      <c r="G756" s="33" t="str">
        <f>IFERROR(__xludf.DUMMYFUNCTION("""COMPUTED_VALUE"""),"Pet")</f>
        <v>Pet</v>
      </c>
      <c r="H756" s="33" t="str">
        <f>IFERROR(__xludf.DUMMYFUNCTION("""COMPUTED_VALUE"""),"Transportation")</f>
        <v>Transportation</v>
      </c>
      <c r="I756" s="33"/>
      <c r="J756" s="33"/>
      <c r="K756" s="33"/>
    </row>
    <row r="757">
      <c r="A757" s="33" t="str">
        <f>IFERROR(__xludf.DUMMYFUNCTION("""COMPUTED_VALUE"""),"Debt")</f>
        <v>Debt</v>
      </c>
      <c r="B757" s="33" t="str">
        <f>IFERROR(__xludf.DUMMYFUNCTION("""COMPUTED_VALUE"""),"Groceries")</f>
        <v>Groceries</v>
      </c>
      <c r="C757" s="33" t="str">
        <f>IFERROR(__xludf.DUMMYFUNCTION("""COMPUTED_VALUE"""),"Healthcare")</f>
        <v>Healthcare</v>
      </c>
      <c r="D757" s="33" t="str">
        <f>IFERROR(__xludf.DUMMYFUNCTION("""COMPUTED_VALUE"""),"Household Items")</f>
        <v>Household Items</v>
      </c>
      <c r="E757" s="33" t="str">
        <f>IFERROR(__xludf.DUMMYFUNCTION("""COMPUTED_VALUE"""),"Housing")</f>
        <v>Housing</v>
      </c>
      <c r="F757" s="33" t="str">
        <f>IFERROR(__xludf.DUMMYFUNCTION("""COMPUTED_VALUE"""),"Miscellaneous")</f>
        <v>Miscellaneous</v>
      </c>
      <c r="G757" s="33" t="str">
        <f>IFERROR(__xludf.DUMMYFUNCTION("""COMPUTED_VALUE"""),"Pet")</f>
        <v>Pet</v>
      </c>
      <c r="H757" s="33" t="str">
        <f>IFERROR(__xludf.DUMMYFUNCTION("""COMPUTED_VALUE"""),"Transportation")</f>
        <v>Transportation</v>
      </c>
      <c r="I757" s="33"/>
      <c r="J757" s="33"/>
      <c r="K757" s="33"/>
    </row>
    <row r="758">
      <c r="A758" s="33" t="str">
        <f>IFERROR(__xludf.DUMMYFUNCTION("""COMPUTED_VALUE"""),"Debt")</f>
        <v>Debt</v>
      </c>
      <c r="B758" s="33" t="str">
        <f>IFERROR(__xludf.DUMMYFUNCTION("""COMPUTED_VALUE"""),"Groceries")</f>
        <v>Groceries</v>
      </c>
      <c r="C758" s="33" t="str">
        <f>IFERROR(__xludf.DUMMYFUNCTION("""COMPUTED_VALUE"""),"Healthcare")</f>
        <v>Healthcare</v>
      </c>
      <c r="D758" s="33" t="str">
        <f>IFERROR(__xludf.DUMMYFUNCTION("""COMPUTED_VALUE"""),"Household Items")</f>
        <v>Household Items</v>
      </c>
      <c r="E758" s="33" t="str">
        <f>IFERROR(__xludf.DUMMYFUNCTION("""COMPUTED_VALUE"""),"Housing")</f>
        <v>Housing</v>
      </c>
      <c r="F758" s="33" t="str">
        <f>IFERROR(__xludf.DUMMYFUNCTION("""COMPUTED_VALUE"""),"Miscellaneous")</f>
        <v>Miscellaneous</v>
      </c>
      <c r="G758" s="33" t="str">
        <f>IFERROR(__xludf.DUMMYFUNCTION("""COMPUTED_VALUE"""),"Pet")</f>
        <v>Pet</v>
      </c>
      <c r="H758" s="33" t="str">
        <f>IFERROR(__xludf.DUMMYFUNCTION("""COMPUTED_VALUE"""),"Transportation")</f>
        <v>Transportation</v>
      </c>
      <c r="I758" s="33"/>
      <c r="J758" s="33"/>
      <c r="K758" s="33"/>
    </row>
    <row r="759">
      <c r="A759" s="33" t="str">
        <f>IFERROR(__xludf.DUMMYFUNCTION("""COMPUTED_VALUE"""),"Debt")</f>
        <v>Debt</v>
      </c>
      <c r="B759" s="33" t="str">
        <f>IFERROR(__xludf.DUMMYFUNCTION("""COMPUTED_VALUE"""),"Groceries")</f>
        <v>Groceries</v>
      </c>
      <c r="C759" s="33" t="str">
        <f>IFERROR(__xludf.DUMMYFUNCTION("""COMPUTED_VALUE"""),"Healthcare")</f>
        <v>Healthcare</v>
      </c>
      <c r="D759" s="33" t="str">
        <f>IFERROR(__xludf.DUMMYFUNCTION("""COMPUTED_VALUE"""),"Household Items")</f>
        <v>Household Items</v>
      </c>
      <c r="E759" s="33" t="str">
        <f>IFERROR(__xludf.DUMMYFUNCTION("""COMPUTED_VALUE"""),"Housing")</f>
        <v>Housing</v>
      </c>
      <c r="F759" s="33" t="str">
        <f>IFERROR(__xludf.DUMMYFUNCTION("""COMPUTED_VALUE"""),"Miscellaneous")</f>
        <v>Miscellaneous</v>
      </c>
      <c r="G759" s="33" t="str">
        <f>IFERROR(__xludf.DUMMYFUNCTION("""COMPUTED_VALUE"""),"Pet")</f>
        <v>Pet</v>
      </c>
      <c r="H759" s="33" t="str">
        <f>IFERROR(__xludf.DUMMYFUNCTION("""COMPUTED_VALUE"""),"Transportation")</f>
        <v>Transportation</v>
      </c>
      <c r="I759" s="33"/>
      <c r="J759" s="33"/>
      <c r="K759" s="33"/>
    </row>
    <row r="760">
      <c r="A760" s="33" t="str">
        <f>IFERROR(__xludf.DUMMYFUNCTION("""COMPUTED_VALUE"""),"Deposit")</f>
        <v>Deposit</v>
      </c>
      <c r="B760" s="33" t="str">
        <f>IFERROR(__xludf.DUMMYFUNCTION("""COMPUTED_VALUE"""),"Withdrawal")</f>
        <v>Withdrawal</v>
      </c>
      <c r="C760" s="33"/>
      <c r="D760" s="33"/>
      <c r="E760" s="33"/>
      <c r="F760" s="33"/>
      <c r="G760" s="33"/>
      <c r="H760" s="33"/>
      <c r="I760" s="33"/>
      <c r="J760" s="33"/>
      <c r="K760" s="33"/>
    </row>
    <row r="761">
      <c r="A761" s="33" t="str">
        <f>IFERROR(__xludf.DUMMYFUNCTION("""COMPUTED_VALUE"""),"FHSA")</f>
        <v>FHSA</v>
      </c>
      <c r="B761" s="33" t="str">
        <f>IFERROR(__xludf.DUMMYFUNCTION("""COMPUTED_VALUE"""),"RRSP")</f>
        <v>RRSP</v>
      </c>
      <c r="C761" s="33" t="str">
        <f>IFERROR(__xludf.DUMMYFUNCTION("""COMPUTED_VALUE"""),"TFSA")</f>
        <v>TFSA</v>
      </c>
      <c r="D761" s="33"/>
      <c r="E761" s="33"/>
      <c r="F761" s="33"/>
      <c r="G761" s="33"/>
      <c r="H761" s="33"/>
      <c r="I761" s="33"/>
      <c r="J761" s="33"/>
      <c r="K761" s="33"/>
    </row>
    <row r="762">
      <c r="A762" s="33" t="str">
        <f>IFERROR(__xludf.DUMMYFUNCTION("""COMPUTED_VALUE"""),"Cashback")</f>
        <v>Cashback</v>
      </c>
      <c r="B762" s="33" t="str">
        <f>IFERROR(__xludf.DUMMYFUNCTION("""COMPUTED_VALUE"""),"Investment Returns")</f>
        <v>Investment Returns</v>
      </c>
      <c r="C762" s="33" t="str">
        <f>IFERROR(__xludf.DUMMYFUNCTION("""COMPUTED_VALUE"""),"Paycheck")</f>
        <v>Paycheck</v>
      </c>
      <c r="D762" s="33" t="str">
        <f>IFERROR(__xludf.DUMMYFUNCTION("""COMPUTED_VALUE"""),"Reimbursement")</f>
        <v>Reimbursement</v>
      </c>
      <c r="E762" s="33" t="str">
        <f>IFERROR(__xludf.DUMMYFUNCTION("""COMPUTED_VALUE"""),"Rewards")</f>
        <v>Rewards</v>
      </c>
      <c r="F762" s="33"/>
      <c r="G762" s="33"/>
      <c r="H762" s="33"/>
      <c r="I762" s="33"/>
      <c r="J762" s="33"/>
      <c r="K762" s="33"/>
    </row>
    <row r="763">
      <c r="A763" s="33" t="str">
        <f>IFERROR(__xludf.DUMMYFUNCTION("""COMPUTED_VALUE"""),"Cashback")</f>
        <v>Cashback</v>
      </c>
      <c r="B763" s="33" t="str">
        <f>IFERROR(__xludf.DUMMYFUNCTION("""COMPUTED_VALUE"""),"Investment Returns")</f>
        <v>Investment Returns</v>
      </c>
      <c r="C763" s="33" t="str">
        <f>IFERROR(__xludf.DUMMYFUNCTION("""COMPUTED_VALUE"""),"Paycheck")</f>
        <v>Paycheck</v>
      </c>
      <c r="D763" s="33" t="str">
        <f>IFERROR(__xludf.DUMMYFUNCTION("""COMPUTED_VALUE"""),"Reimbursement")</f>
        <v>Reimbursement</v>
      </c>
      <c r="E763" s="33" t="str">
        <f>IFERROR(__xludf.DUMMYFUNCTION("""COMPUTED_VALUE"""),"Rewards")</f>
        <v>Rewards</v>
      </c>
      <c r="F763" s="33"/>
      <c r="G763" s="33"/>
      <c r="H763" s="33"/>
      <c r="I763" s="33"/>
      <c r="J763" s="33"/>
      <c r="K763" s="33"/>
    </row>
    <row r="764">
      <c r="A764" s="33" t="str">
        <f>IFERROR(__xludf.DUMMYFUNCTION("""COMPUTED_VALUE"""),"Car Fund")</f>
        <v>Car Fund</v>
      </c>
      <c r="B764" s="33" t="str">
        <f>IFERROR(__xludf.DUMMYFUNCTION("""COMPUTED_VALUE"""),"Emergency Fund")</f>
        <v>Emergency Fund</v>
      </c>
      <c r="C764" s="33" t="str">
        <f>IFERROR(__xludf.DUMMYFUNCTION("""COMPUTED_VALUE"""),"Family Fund")</f>
        <v>Family Fund</v>
      </c>
      <c r="D764" s="33" t="str">
        <f>IFERROR(__xludf.DUMMYFUNCTION("""COMPUTED_VALUE"""),"Kenji Fund")</f>
        <v>Kenji Fund</v>
      </c>
      <c r="E764" s="33" t="str">
        <f>IFERROR(__xludf.DUMMYFUNCTION("""COMPUTED_VALUE"""),"Mei Fund")</f>
        <v>Mei Fund</v>
      </c>
      <c r="F764" s="33" t="str">
        <f>IFERROR(__xludf.DUMMYFUNCTION("""COMPUTED_VALUE"""),"Pet Fund")</f>
        <v>Pet Fund</v>
      </c>
      <c r="G764" s="33" t="str">
        <f>IFERROR(__xludf.DUMMYFUNCTION("""COMPUTED_VALUE"""),"Vacation Fund")</f>
        <v>Vacation Fund</v>
      </c>
      <c r="H764" s="33"/>
      <c r="I764" s="33"/>
      <c r="J764" s="33"/>
      <c r="K764" s="33"/>
    </row>
    <row r="765">
      <c r="A765" s="33" t="str">
        <f>IFERROR(__xludf.DUMMYFUNCTION("""COMPUTED_VALUE"""),"Deposit")</f>
        <v>Deposit</v>
      </c>
      <c r="B765" s="33" t="str">
        <f>IFERROR(__xludf.DUMMYFUNCTION("""COMPUTED_VALUE"""),"Withdrawal")</f>
        <v>Withdrawal</v>
      </c>
      <c r="C765" s="33"/>
      <c r="D765" s="33"/>
      <c r="E765" s="33"/>
      <c r="F765" s="33"/>
      <c r="G765" s="33"/>
      <c r="H765" s="33"/>
      <c r="I765" s="33"/>
      <c r="J765" s="33"/>
      <c r="K765" s="33"/>
    </row>
    <row r="766">
      <c r="A766" s="33" t="str">
        <f>IFERROR(__xludf.DUMMYFUNCTION("""COMPUTED_VALUE"""),"Dining Out")</f>
        <v>Dining Out</v>
      </c>
      <c r="B766" s="33" t="str">
        <f>IFERROR(__xludf.DUMMYFUNCTION("""COMPUTED_VALUE"""),"Entertainment")</f>
        <v>Entertainment</v>
      </c>
      <c r="C766" s="33" t="str">
        <f>IFERROR(__xludf.DUMMYFUNCTION("""COMPUTED_VALUE"""),"Gaming")</f>
        <v>Gaming</v>
      </c>
      <c r="D766" s="33" t="str">
        <f>IFERROR(__xludf.DUMMYFUNCTION("""COMPUTED_VALUE"""),"Gifts")</f>
        <v>Gifts</v>
      </c>
      <c r="E766" s="33" t="str">
        <f>IFERROR(__xludf.DUMMYFUNCTION("""COMPUTED_VALUE"""),"Groceries")</f>
        <v>Groceries</v>
      </c>
      <c r="F766" s="33" t="str">
        <f>IFERROR(__xludf.DUMMYFUNCTION("""COMPUTED_VALUE"""),"Healthcare")</f>
        <v>Healthcare</v>
      </c>
      <c r="G766" s="33" t="str">
        <f>IFERROR(__xludf.DUMMYFUNCTION("""COMPUTED_VALUE"""),"Hobbies")</f>
        <v>Hobbies</v>
      </c>
      <c r="H766" s="33" t="str">
        <f>IFERROR(__xludf.DUMMYFUNCTION("""COMPUTED_VALUE"""),"Household Items")</f>
        <v>Household Items</v>
      </c>
      <c r="I766" s="33" t="str">
        <f>IFERROR(__xludf.DUMMYFUNCTION("""COMPUTED_VALUE"""),"Subscriptions")</f>
        <v>Subscriptions</v>
      </c>
      <c r="J766" s="33" t="str">
        <f>IFERROR(__xludf.DUMMYFUNCTION("""COMPUTED_VALUE"""),"Transportation")</f>
        <v>Transportation</v>
      </c>
      <c r="K766" s="33" t="str">
        <f>IFERROR(__xludf.DUMMYFUNCTION("""COMPUTED_VALUE"""),"Travel")</f>
        <v>Travel</v>
      </c>
    </row>
    <row r="767">
      <c r="A767" s="33" t="str">
        <f>IFERROR(__xludf.DUMMYFUNCTION("""COMPUTED_VALUE"""),"FHSA")</f>
        <v>FHSA</v>
      </c>
      <c r="B767" s="33" t="str">
        <f>IFERROR(__xludf.DUMMYFUNCTION("""COMPUTED_VALUE"""),"RRSP")</f>
        <v>RRSP</v>
      </c>
      <c r="C767" s="33" t="str">
        <f>IFERROR(__xludf.DUMMYFUNCTION("""COMPUTED_VALUE"""),"TFSA")</f>
        <v>TFSA</v>
      </c>
      <c r="D767" s="33"/>
      <c r="E767" s="33"/>
      <c r="F767" s="33"/>
      <c r="G767" s="33"/>
      <c r="H767" s="33"/>
      <c r="I767" s="33"/>
      <c r="J767" s="33"/>
      <c r="K767" s="33"/>
    </row>
    <row r="768">
      <c r="A768" s="33" t="str">
        <f>IFERROR(__xludf.DUMMYFUNCTION("""COMPUTED_VALUE"""),"Deposit")</f>
        <v>Deposit</v>
      </c>
      <c r="B768" s="33" t="str">
        <f>IFERROR(__xludf.DUMMYFUNCTION("""COMPUTED_VALUE"""),"Withdrawal")</f>
        <v>Withdrawal</v>
      </c>
      <c r="C768" s="33"/>
      <c r="D768" s="33"/>
      <c r="E768" s="33"/>
      <c r="F768" s="33"/>
      <c r="G768" s="33"/>
      <c r="H768" s="33"/>
      <c r="I768" s="33"/>
      <c r="J768" s="33"/>
      <c r="K768" s="33"/>
    </row>
    <row r="769">
      <c r="A769" s="33" t="str">
        <f>IFERROR(__xludf.DUMMYFUNCTION("""COMPUTED_VALUE"""),"Deposit")</f>
        <v>Deposit</v>
      </c>
      <c r="B769" s="33" t="str">
        <f>IFERROR(__xludf.DUMMYFUNCTION("""COMPUTED_VALUE"""),"Withdrawal")</f>
        <v>Withdrawal</v>
      </c>
      <c r="C769" s="33"/>
      <c r="D769" s="33"/>
      <c r="E769" s="33"/>
      <c r="F769" s="33"/>
      <c r="G769" s="33"/>
      <c r="H769" s="33"/>
      <c r="I769" s="33"/>
      <c r="J769" s="33"/>
      <c r="K769" s="33"/>
    </row>
    <row r="770">
      <c r="A770" s="33" t="str">
        <f>IFERROR(__xludf.DUMMYFUNCTION("""COMPUTED_VALUE"""),"Deposit")</f>
        <v>Deposit</v>
      </c>
      <c r="B770" s="33" t="str">
        <f>IFERROR(__xludf.DUMMYFUNCTION("""COMPUTED_VALUE"""),"Withdrawal")</f>
        <v>Withdrawal</v>
      </c>
      <c r="C770" s="33"/>
      <c r="D770" s="33"/>
      <c r="E770" s="33"/>
      <c r="F770" s="33"/>
      <c r="G770" s="33"/>
      <c r="H770" s="33"/>
      <c r="I770" s="33"/>
      <c r="J770" s="33"/>
      <c r="K770" s="33"/>
    </row>
    <row r="771">
      <c r="A771" s="33" t="str">
        <f>IFERROR(__xludf.DUMMYFUNCTION("""COMPUTED_VALUE"""),"Dining Out")</f>
        <v>Dining Out</v>
      </c>
      <c r="B771" s="33" t="str">
        <f>IFERROR(__xludf.DUMMYFUNCTION("""COMPUTED_VALUE"""),"Entertainment")</f>
        <v>Entertainment</v>
      </c>
      <c r="C771" s="33" t="str">
        <f>IFERROR(__xludf.DUMMYFUNCTION("""COMPUTED_VALUE"""),"Gaming")</f>
        <v>Gaming</v>
      </c>
      <c r="D771" s="33" t="str">
        <f>IFERROR(__xludf.DUMMYFUNCTION("""COMPUTED_VALUE"""),"Gifts")</f>
        <v>Gifts</v>
      </c>
      <c r="E771" s="33" t="str">
        <f>IFERROR(__xludf.DUMMYFUNCTION("""COMPUTED_VALUE"""),"Groceries")</f>
        <v>Groceries</v>
      </c>
      <c r="F771" s="33" t="str">
        <f>IFERROR(__xludf.DUMMYFUNCTION("""COMPUTED_VALUE"""),"Healthcare")</f>
        <v>Healthcare</v>
      </c>
      <c r="G771" s="33" t="str">
        <f>IFERROR(__xludf.DUMMYFUNCTION("""COMPUTED_VALUE"""),"Hobbies")</f>
        <v>Hobbies</v>
      </c>
      <c r="H771" s="33" t="str">
        <f>IFERROR(__xludf.DUMMYFUNCTION("""COMPUTED_VALUE"""),"Household Items")</f>
        <v>Household Items</v>
      </c>
      <c r="I771" s="33" t="str">
        <f>IFERROR(__xludf.DUMMYFUNCTION("""COMPUTED_VALUE"""),"Subscriptions")</f>
        <v>Subscriptions</v>
      </c>
      <c r="J771" s="33" t="str">
        <f>IFERROR(__xludf.DUMMYFUNCTION("""COMPUTED_VALUE"""),"Transportation")</f>
        <v>Transportation</v>
      </c>
      <c r="K771" s="33" t="str">
        <f>IFERROR(__xludf.DUMMYFUNCTION("""COMPUTED_VALUE"""),"Travel")</f>
        <v>Travel</v>
      </c>
    </row>
    <row r="772">
      <c r="A772" s="33" t="str">
        <f>IFERROR(__xludf.DUMMYFUNCTION("""COMPUTED_VALUE"""),"Debt")</f>
        <v>Debt</v>
      </c>
      <c r="B772" s="33" t="str">
        <f>IFERROR(__xludf.DUMMYFUNCTION("""COMPUTED_VALUE"""),"Groceries")</f>
        <v>Groceries</v>
      </c>
      <c r="C772" s="33" t="str">
        <f>IFERROR(__xludf.DUMMYFUNCTION("""COMPUTED_VALUE"""),"Healthcare")</f>
        <v>Healthcare</v>
      </c>
      <c r="D772" s="33" t="str">
        <f>IFERROR(__xludf.DUMMYFUNCTION("""COMPUTED_VALUE"""),"Household Items")</f>
        <v>Household Items</v>
      </c>
      <c r="E772" s="33" t="str">
        <f>IFERROR(__xludf.DUMMYFUNCTION("""COMPUTED_VALUE"""),"Housing")</f>
        <v>Housing</v>
      </c>
      <c r="F772" s="33" t="str">
        <f>IFERROR(__xludf.DUMMYFUNCTION("""COMPUTED_VALUE"""),"Miscellaneous")</f>
        <v>Miscellaneous</v>
      </c>
      <c r="G772" s="33" t="str">
        <f>IFERROR(__xludf.DUMMYFUNCTION("""COMPUTED_VALUE"""),"Pet")</f>
        <v>Pet</v>
      </c>
      <c r="H772" s="33" t="str">
        <f>IFERROR(__xludf.DUMMYFUNCTION("""COMPUTED_VALUE"""),"Transportation")</f>
        <v>Transportation</v>
      </c>
      <c r="I772" s="33"/>
      <c r="J772" s="33"/>
      <c r="K772" s="33"/>
    </row>
    <row r="773">
      <c r="A773" s="33" t="str">
        <f>IFERROR(__xludf.DUMMYFUNCTION("""COMPUTED_VALUE"""),"Debt")</f>
        <v>Debt</v>
      </c>
      <c r="B773" s="33" t="str">
        <f>IFERROR(__xludf.DUMMYFUNCTION("""COMPUTED_VALUE"""),"Groceries")</f>
        <v>Groceries</v>
      </c>
      <c r="C773" s="33" t="str">
        <f>IFERROR(__xludf.DUMMYFUNCTION("""COMPUTED_VALUE"""),"Healthcare")</f>
        <v>Healthcare</v>
      </c>
      <c r="D773" s="33" t="str">
        <f>IFERROR(__xludf.DUMMYFUNCTION("""COMPUTED_VALUE"""),"Household Items")</f>
        <v>Household Items</v>
      </c>
      <c r="E773" s="33" t="str">
        <f>IFERROR(__xludf.DUMMYFUNCTION("""COMPUTED_VALUE"""),"Housing")</f>
        <v>Housing</v>
      </c>
      <c r="F773" s="33" t="str">
        <f>IFERROR(__xludf.DUMMYFUNCTION("""COMPUTED_VALUE"""),"Miscellaneous")</f>
        <v>Miscellaneous</v>
      </c>
      <c r="G773" s="33" t="str">
        <f>IFERROR(__xludf.DUMMYFUNCTION("""COMPUTED_VALUE"""),"Pet")</f>
        <v>Pet</v>
      </c>
      <c r="H773" s="33" t="str">
        <f>IFERROR(__xludf.DUMMYFUNCTION("""COMPUTED_VALUE"""),"Transportation")</f>
        <v>Transportation</v>
      </c>
      <c r="I773" s="33"/>
      <c r="J773" s="33"/>
      <c r="K773" s="33"/>
    </row>
    <row r="774">
      <c r="A774" s="33" t="str">
        <f>IFERROR(__xludf.DUMMYFUNCTION("""COMPUTED_VALUE"""),"Debt")</f>
        <v>Debt</v>
      </c>
      <c r="B774" s="33" t="str">
        <f>IFERROR(__xludf.DUMMYFUNCTION("""COMPUTED_VALUE"""),"Groceries")</f>
        <v>Groceries</v>
      </c>
      <c r="C774" s="33" t="str">
        <f>IFERROR(__xludf.DUMMYFUNCTION("""COMPUTED_VALUE"""),"Healthcare")</f>
        <v>Healthcare</v>
      </c>
      <c r="D774" s="33" t="str">
        <f>IFERROR(__xludf.DUMMYFUNCTION("""COMPUTED_VALUE"""),"Household Items")</f>
        <v>Household Items</v>
      </c>
      <c r="E774" s="33" t="str">
        <f>IFERROR(__xludf.DUMMYFUNCTION("""COMPUTED_VALUE"""),"Housing")</f>
        <v>Housing</v>
      </c>
      <c r="F774" s="33" t="str">
        <f>IFERROR(__xludf.DUMMYFUNCTION("""COMPUTED_VALUE"""),"Miscellaneous")</f>
        <v>Miscellaneous</v>
      </c>
      <c r="G774" s="33" t="str">
        <f>IFERROR(__xludf.DUMMYFUNCTION("""COMPUTED_VALUE"""),"Pet")</f>
        <v>Pet</v>
      </c>
      <c r="H774" s="33" t="str">
        <f>IFERROR(__xludf.DUMMYFUNCTION("""COMPUTED_VALUE"""),"Transportation")</f>
        <v>Transportation</v>
      </c>
      <c r="I774" s="33"/>
      <c r="J774" s="33"/>
      <c r="K774" s="33"/>
    </row>
    <row r="775">
      <c r="A775" s="33" t="str">
        <f>IFERROR(__xludf.DUMMYFUNCTION("""COMPUTED_VALUE"""),"Boarding")</f>
        <v>Boarding</v>
      </c>
      <c r="B775" s="33" t="str">
        <f>IFERROR(__xludf.DUMMYFUNCTION("""COMPUTED_VALUE"""),"Clothing")</f>
        <v>Clothing</v>
      </c>
      <c r="C775" s="33" t="str">
        <f>IFERROR(__xludf.DUMMYFUNCTION("""COMPUTED_VALUE"""),"Daycare")</f>
        <v>Daycare</v>
      </c>
      <c r="D775" s="33" t="str">
        <f>IFERROR(__xludf.DUMMYFUNCTION("""COMPUTED_VALUE"""),"Grooming")</f>
        <v>Grooming</v>
      </c>
      <c r="E775" s="33" t="str">
        <f>IFERROR(__xludf.DUMMYFUNCTION("""COMPUTED_VALUE"""),"Toys")</f>
        <v>Toys</v>
      </c>
      <c r="F775" s="33" t="str">
        <f>IFERROR(__xludf.DUMMYFUNCTION("""COMPUTED_VALUE"""),"Treats")</f>
        <v>Treats</v>
      </c>
      <c r="G775" s="33"/>
      <c r="H775" s="33"/>
      <c r="I775" s="33"/>
      <c r="J775" s="33"/>
      <c r="K775" s="33"/>
    </row>
    <row r="776">
      <c r="A776" s="33" t="str">
        <f>IFERROR(__xludf.DUMMYFUNCTION("""COMPUTED_VALUE"""),"Debt")</f>
        <v>Debt</v>
      </c>
      <c r="B776" s="33" t="str">
        <f>IFERROR(__xludf.DUMMYFUNCTION("""COMPUTED_VALUE"""),"Groceries")</f>
        <v>Groceries</v>
      </c>
      <c r="C776" s="33" t="str">
        <f>IFERROR(__xludf.DUMMYFUNCTION("""COMPUTED_VALUE"""),"Healthcare")</f>
        <v>Healthcare</v>
      </c>
      <c r="D776" s="33" t="str">
        <f>IFERROR(__xludf.DUMMYFUNCTION("""COMPUTED_VALUE"""),"Household Items")</f>
        <v>Household Items</v>
      </c>
      <c r="E776" s="33" t="str">
        <f>IFERROR(__xludf.DUMMYFUNCTION("""COMPUTED_VALUE"""),"Housing")</f>
        <v>Housing</v>
      </c>
      <c r="F776" s="33" t="str">
        <f>IFERROR(__xludf.DUMMYFUNCTION("""COMPUTED_VALUE"""),"Miscellaneous")</f>
        <v>Miscellaneous</v>
      </c>
      <c r="G776" s="33" t="str">
        <f>IFERROR(__xludf.DUMMYFUNCTION("""COMPUTED_VALUE"""),"Pet")</f>
        <v>Pet</v>
      </c>
      <c r="H776" s="33" t="str">
        <f>IFERROR(__xludf.DUMMYFUNCTION("""COMPUTED_VALUE"""),"Transportation")</f>
        <v>Transportation</v>
      </c>
      <c r="I776" s="33"/>
      <c r="J776" s="33"/>
      <c r="K776" s="33"/>
    </row>
    <row r="777">
      <c r="A777" s="33" t="str">
        <f>IFERROR(__xludf.DUMMYFUNCTION("""COMPUTED_VALUE"""),"Debt")</f>
        <v>Debt</v>
      </c>
      <c r="B777" s="33" t="str">
        <f>IFERROR(__xludf.DUMMYFUNCTION("""COMPUTED_VALUE"""),"Groceries")</f>
        <v>Groceries</v>
      </c>
      <c r="C777" s="33" t="str">
        <f>IFERROR(__xludf.DUMMYFUNCTION("""COMPUTED_VALUE"""),"Healthcare")</f>
        <v>Healthcare</v>
      </c>
      <c r="D777" s="33" t="str">
        <f>IFERROR(__xludf.DUMMYFUNCTION("""COMPUTED_VALUE"""),"Household Items")</f>
        <v>Household Items</v>
      </c>
      <c r="E777" s="33" t="str">
        <f>IFERROR(__xludf.DUMMYFUNCTION("""COMPUTED_VALUE"""),"Housing")</f>
        <v>Housing</v>
      </c>
      <c r="F777" s="33" t="str">
        <f>IFERROR(__xludf.DUMMYFUNCTION("""COMPUTED_VALUE"""),"Miscellaneous")</f>
        <v>Miscellaneous</v>
      </c>
      <c r="G777" s="33" t="str">
        <f>IFERROR(__xludf.DUMMYFUNCTION("""COMPUTED_VALUE"""),"Pet")</f>
        <v>Pet</v>
      </c>
      <c r="H777" s="33" t="str">
        <f>IFERROR(__xludf.DUMMYFUNCTION("""COMPUTED_VALUE"""),"Transportation")</f>
        <v>Transportation</v>
      </c>
      <c r="I777" s="33"/>
      <c r="J777" s="33"/>
      <c r="K777" s="33"/>
    </row>
    <row r="778">
      <c r="A778" s="33" t="str">
        <f>IFERROR(__xludf.DUMMYFUNCTION("""COMPUTED_VALUE"""),"Debt")</f>
        <v>Debt</v>
      </c>
      <c r="B778" s="33" t="str">
        <f>IFERROR(__xludf.DUMMYFUNCTION("""COMPUTED_VALUE"""),"Groceries")</f>
        <v>Groceries</v>
      </c>
      <c r="C778" s="33" t="str">
        <f>IFERROR(__xludf.DUMMYFUNCTION("""COMPUTED_VALUE"""),"Healthcare")</f>
        <v>Healthcare</v>
      </c>
      <c r="D778" s="33" t="str">
        <f>IFERROR(__xludf.DUMMYFUNCTION("""COMPUTED_VALUE"""),"Household Items")</f>
        <v>Household Items</v>
      </c>
      <c r="E778" s="33" t="str">
        <f>IFERROR(__xludf.DUMMYFUNCTION("""COMPUTED_VALUE"""),"Housing")</f>
        <v>Housing</v>
      </c>
      <c r="F778" s="33" t="str">
        <f>IFERROR(__xludf.DUMMYFUNCTION("""COMPUTED_VALUE"""),"Miscellaneous")</f>
        <v>Miscellaneous</v>
      </c>
      <c r="G778" s="33" t="str">
        <f>IFERROR(__xludf.DUMMYFUNCTION("""COMPUTED_VALUE"""),"Pet")</f>
        <v>Pet</v>
      </c>
      <c r="H778" s="33" t="str">
        <f>IFERROR(__xludf.DUMMYFUNCTION("""COMPUTED_VALUE"""),"Transportation")</f>
        <v>Transportation</v>
      </c>
      <c r="I778" s="33"/>
      <c r="J778" s="33"/>
      <c r="K778" s="33"/>
    </row>
    <row r="779">
      <c r="A779" s="33" t="str">
        <f>IFERROR(__xludf.DUMMYFUNCTION("""COMPUTED_VALUE"""),"Debt")</f>
        <v>Debt</v>
      </c>
      <c r="B779" s="33" t="str">
        <f>IFERROR(__xludf.DUMMYFUNCTION("""COMPUTED_VALUE"""),"Groceries")</f>
        <v>Groceries</v>
      </c>
      <c r="C779" s="33" t="str">
        <f>IFERROR(__xludf.DUMMYFUNCTION("""COMPUTED_VALUE"""),"Healthcare")</f>
        <v>Healthcare</v>
      </c>
      <c r="D779" s="33" t="str">
        <f>IFERROR(__xludf.DUMMYFUNCTION("""COMPUTED_VALUE"""),"Household Items")</f>
        <v>Household Items</v>
      </c>
      <c r="E779" s="33" t="str">
        <f>IFERROR(__xludf.DUMMYFUNCTION("""COMPUTED_VALUE"""),"Housing")</f>
        <v>Housing</v>
      </c>
      <c r="F779" s="33" t="str">
        <f>IFERROR(__xludf.DUMMYFUNCTION("""COMPUTED_VALUE"""),"Miscellaneous")</f>
        <v>Miscellaneous</v>
      </c>
      <c r="G779" s="33" t="str">
        <f>IFERROR(__xludf.DUMMYFUNCTION("""COMPUTED_VALUE"""),"Pet")</f>
        <v>Pet</v>
      </c>
      <c r="H779" s="33" t="str">
        <f>IFERROR(__xludf.DUMMYFUNCTION("""COMPUTED_VALUE"""),"Transportation")</f>
        <v>Transportation</v>
      </c>
      <c r="I779" s="33"/>
      <c r="J779" s="33"/>
      <c r="K779" s="33"/>
    </row>
    <row r="780">
      <c r="A780" s="33" t="str">
        <f>IFERROR(__xludf.DUMMYFUNCTION("""COMPUTED_VALUE"""),"Debt")</f>
        <v>Debt</v>
      </c>
      <c r="B780" s="33" t="str">
        <f>IFERROR(__xludf.DUMMYFUNCTION("""COMPUTED_VALUE"""),"Groceries")</f>
        <v>Groceries</v>
      </c>
      <c r="C780" s="33" t="str">
        <f>IFERROR(__xludf.DUMMYFUNCTION("""COMPUTED_VALUE"""),"Healthcare")</f>
        <v>Healthcare</v>
      </c>
      <c r="D780" s="33" t="str">
        <f>IFERROR(__xludf.DUMMYFUNCTION("""COMPUTED_VALUE"""),"Household Items")</f>
        <v>Household Items</v>
      </c>
      <c r="E780" s="33" t="str">
        <f>IFERROR(__xludf.DUMMYFUNCTION("""COMPUTED_VALUE"""),"Housing")</f>
        <v>Housing</v>
      </c>
      <c r="F780" s="33" t="str">
        <f>IFERROR(__xludf.DUMMYFUNCTION("""COMPUTED_VALUE"""),"Miscellaneous")</f>
        <v>Miscellaneous</v>
      </c>
      <c r="G780" s="33" t="str">
        <f>IFERROR(__xludf.DUMMYFUNCTION("""COMPUTED_VALUE"""),"Pet")</f>
        <v>Pet</v>
      </c>
      <c r="H780" s="33" t="str">
        <f>IFERROR(__xludf.DUMMYFUNCTION("""COMPUTED_VALUE"""),"Transportation")</f>
        <v>Transportation</v>
      </c>
      <c r="I780" s="33"/>
      <c r="J780" s="33"/>
      <c r="K780" s="33"/>
    </row>
    <row r="781">
      <c r="A781" s="33" t="str">
        <f>IFERROR(__xludf.DUMMYFUNCTION("""COMPUTED_VALUE"""),"Debt")</f>
        <v>Debt</v>
      </c>
      <c r="B781" s="33" t="str">
        <f>IFERROR(__xludf.DUMMYFUNCTION("""COMPUTED_VALUE"""),"Groceries")</f>
        <v>Groceries</v>
      </c>
      <c r="C781" s="33" t="str">
        <f>IFERROR(__xludf.DUMMYFUNCTION("""COMPUTED_VALUE"""),"Healthcare")</f>
        <v>Healthcare</v>
      </c>
      <c r="D781" s="33" t="str">
        <f>IFERROR(__xludf.DUMMYFUNCTION("""COMPUTED_VALUE"""),"Household Items")</f>
        <v>Household Items</v>
      </c>
      <c r="E781" s="33" t="str">
        <f>IFERROR(__xludf.DUMMYFUNCTION("""COMPUTED_VALUE"""),"Housing")</f>
        <v>Housing</v>
      </c>
      <c r="F781" s="33" t="str">
        <f>IFERROR(__xludf.DUMMYFUNCTION("""COMPUTED_VALUE"""),"Miscellaneous")</f>
        <v>Miscellaneous</v>
      </c>
      <c r="G781" s="33" t="str">
        <f>IFERROR(__xludf.DUMMYFUNCTION("""COMPUTED_VALUE"""),"Pet")</f>
        <v>Pet</v>
      </c>
      <c r="H781" s="33" t="str">
        <f>IFERROR(__xludf.DUMMYFUNCTION("""COMPUTED_VALUE"""),"Transportation")</f>
        <v>Transportation</v>
      </c>
      <c r="I781" s="33"/>
      <c r="J781" s="33"/>
      <c r="K781" s="33"/>
    </row>
    <row r="782">
      <c r="A782" s="33" t="str">
        <f>IFERROR(__xludf.DUMMYFUNCTION("""COMPUTED_VALUE"""),"Debt")</f>
        <v>Debt</v>
      </c>
      <c r="B782" s="33" t="str">
        <f>IFERROR(__xludf.DUMMYFUNCTION("""COMPUTED_VALUE"""),"Groceries")</f>
        <v>Groceries</v>
      </c>
      <c r="C782" s="33" t="str">
        <f>IFERROR(__xludf.DUMMYFUNCTION("""COMPUTED_VALUE"""),"Healthcare")</f>
        <v>Healthcare</v>
      </c>
      <c r="D782" s="33" t="str">
        <f>IFERROR(__xludf.DUMMYFUNCTION("""COMPUTED_VALUE"""),"Household Items")</f>
        <v>Household Items</v>
      </c>
      <c r="E782" s="33" t="str">
        <f>IFERROR(__xludf.DUMMYFUNCTION("""COMPUTED_VALUE"""),"Housing")</f>
        <v>Housing</v>
      </c>
      <c r="F782" s="33" t="str">
        <f>IFERROR(__xludf.DUMMYFUNCTION("""COMPUTED_VALUE"""),"Miscellaneous")</f>
        <v>Miscellaneous</v>
      </c>
      <c r="G782" s="33" t="str">
        <f>IFERROR(__xludf.DUMMYFUNCTION("""COMPUTED_VALUE"""),"Pet")</f>
        <v>Pet</v>
      </c>
      <c r="H782" s="33" t="str">
        <f>IFERROR(__xludf.DUMMYFUNCTION("""COMPUTED_VALUE"""),"Transportation")</f>
        <v>Transportation</v>
      </c>
      <c r="I782" s="33"/>
      <c r="J782" s="33"/>
      <c r="K782" s="33"/>
    </row>
    <row r="783">
      <c r="A783" s="33" t="str">
        <f>IFERROR(__xludf.DUMMYFUNCTION("""COMPUTED_VALUE"""),"Deposit")</f>
        <v>Deposit</v>
      </c>
      <c r="B783" s="33" t="str">
        <f>IFERROR(__xludf.DUMMYFUNCTION("""COMPUTED_VALUE"""),"Withdrawal")</f>
        <v>Withdrawal</v>
      </c>
      <c r="C783" s="33"/>
      <c r="D783" s="33"/>
      <c r="E783" s="33"/>
      <c r="F783" s="33"/>
      <c r="G783" s="33"/>
      <c r="H783" s="33"/>
      <c r="I783" s="33"/>
      <c r="J783" s="33"/>
      <c r="K783" s="33"/>
    </row>
    <row r="784">
      <c r="A784" s="33" t="str">
        <f>IFERROR(__xludf.DUMMYFUNCTION("""COMPUTED_VALUE"""),"Deposit")</f>
        <v>Deposit</v>
      </c>
      <c r="B784" s="33" t="str">
        <f>IFERROR(__xludf.DUMMYFUNCTION("""COMPUTED_VALUE"""),"Withdrawal")</f>
        <v>Withdrawal</v>
      </c>
      <c r="C784" s="33"/>
      <c r="D784" s="33"/>
      <c r="E784" s="33"/>
      <c r="F784" s="33"/>
      <c r="G784" s="33"/>
      <c r="H784" s="33"/>
      <c r="I784" s="33"/>
      <c r="J784" s="33"/>
      <c r="K784" s="33"/>
    </row>
    <row r="785">
      <c r="A785" s="33" t="str">
        <f>IFERROR(__xludf.DUMMYFUNCTION("""COMPUTED_VALUE"""),"Dining Out")</f>
        <v>Dining Out</v>
      </c>
      <c r="B785" s="33" t="str">
        <f>IFERROR(__xludf.DUMMYFUNCTION("""COMPUTED_VALUE"""),"Entertainment")</f>
        <v>Entertainment</v>
      </c>
      <c r="C785" s="33" t="str">
        <f>IFERROR(__xludf.DUMMYFUNCTION("""COMPUTED_VALUE"""),"Gaming")</f>
        <v>Gaming</v>
      </c>
      <c r="D785" s="33" t="str">
        <f>IFERROR(__xludf.DUMMYFUNCTION("""COMPUTED_VALUE"""),"Gifts")</f>
        <v>Gifts</v>
      </c>
      <c r="E785" s="33" t="str">
        <f>IFERROR(__xludf.DUMMYFUNCTION("""COMPUTED_VALUE"""),"Groceries")</f>
        <v>Groceries</v>
      </c>
      <c r="F785" s="33" t="str">
        <f>IFERROR(__xludf.DUMMYFUNCTION("""COMPUTED_VALUE"""),"Healthcare")</f>
        <v>Healthcare</v>
      </c>
      <c r="G785" s="33" t="str">
        <f>IFERROR(__xludf.DUMMYFUNCTION("""COMPUTED_VALUE"""),"Hobbies")</f>
        <v>Hobbies</v>
      </c>
      <c r="H785" s="33" t="str">
        <f>IFERROR(__xludf.DUMMYFUNCTION("""COMPUTED_VALUE"""),"Household Items")</f>
        <v>Household Items</v>
      </c>
      <c r="I785" s="33" t="str">
        <f>IFERROR(__xludf.DUMMYFUNCTION("""COMPUTED_VALUE"""),"Subscriptions")</f>
        <v>Subscriptions</v>
      </c>
      <c r="J785" s="33" t="str">
        <f>IFERROR(__xludf.DUMMYFUNCTION("""COMPUTED_VALUE"""),"Transportation")</f>
        <v>Transportation</v>
      </c>
      <c r="K785" s="33" t="str">
        <f>IFERROR(__xludf.DUMMYFUNCTION("""COMPUTED_VALUE"""),"Travel")</f>
        <v>Travel</v>
      </c>
    </row>
    <row r="786">
      <c r="A786" s="33" t="str">
        <f>IFERROR(__xludf.DUMMYFUNCTION("""COMPUTED_VALUE"""),"Dining Out")</f>
        <v>Dining Out</v>
      </c>
      <c r="B786" s="33" t="str">
        <f>IFERROR(__xludf.DUMMYFUNCTION("""COMPUTED_VALUE"""),"Entertainment")</f>
        <v>Entertainment</v>
      </c>
      <c r="C786" s="33" t="str">
        <f>IFERROR(__xludf.DUMMYFUNCTION("""COMPUTED_VALUE"""),"Gaming")</f>
        <v>Gaming</v>
      </c>
      <c r="D786" s="33" t="str">
        <f>IFERROR(__xludf.DUMMYFUNCTION("""COMPUTED_VALUE"""),"Gifts")</f>
        <v>Gifts</v>
      </c>
      <c r="E786" s="33" t="str">
        <f>IFERROR(__xludf.DUMMYFUNCTION("""COMPUTED_VALUE"""),"Groceries")</f>
        <v>Groceries</v>
      </c>
      <c r="F786" s="33" t="str">
        <f>IFERROR(__xludf.DUMMYFUNCTION("""COMPUTED_VALUE"""),"Healthcare")</f>
        <v>Healthcare</v>
      </c>
      <c r="G786" s="33" t="str">
        <f>IFERROR(__xludf.DUMMYFUNCTION("""COMPUTED_VALUE"""),"Hobbies")</f>
        <v>Hobbies</v>
      </c>
      <c r="H786" s="33" t="str">
        <f>IFERROR(__xludf.DUMMYFUNCTION("""COMPUTED_VALUE"""),"Household Items")</f>
        <v>Household Items</v>
      </c>
      <c r="I786" s="33" t="str">
        <f>IFERROR(__xludf.DUMMYFUNCTION("""COMPUTED_VALUE"""),"Subscriptions")</f>
        <v>Subscriptions</v>
      </c>
      <c r="J786" s="33" t="str">
        <f>IFERROR(__xludf.DUMMYFUNCTION("""COMPUTED_VALUE"""),"Transportation")</f>
        <v>Transportation</v>
      </c>
      <c r="K786" s="33" t="str">
        <f>IFERROR(__xludf.DUMMYFUNCTION("""COMPUTED_VALUE"""),"Travel")</f>
        <v>Travel</v>
      </c>
    </row>
    <row r="787">
      <c r="A787" s="33" t="str">
        <f>IFERROR(__xludf.DUMMYFUNCTION("""COMPUTED_VALUE"""),"Clothing")</f>
        <v>Clothing</v>
      </c>
      <c r="B787" s="33" t="str">
        <f>IFERROR(__xludf.DUMMYFUNCTION("""COMPUTED_VALUE"""),"Gaming")</f>
        <v>Gaming</v>
      </c>
      <c r="C787" s="33" t="str">
        <f>IFERROR(__xludf.DUMMYFUNCTION("""COMPUTED_VALUE"""),"Gifts")</f>
        <v>Gifts</v>
      </c>
      <c r="D787" s="33" t="str">
        <f>IFERROR(__xludf.DUMMYFUNCTION("""COMPUTED_VALUE"""),"Healthcare")</f>
        <v>Healthcare</v>
      </c>
      <c r="E787" s="33" t="str">
        <f>IFERROR(__xludf.DUMMYFUNCTION("""COMPUTED_VALUE"""),"Hobbies")</f>
        <v>Hobbies</v>
      </c>
      <c r="F787" s="33" t="str">
        <f>IFERROR(__xludf.DUMMYFUNCTION("""COMPUTED_VALUE"""),"Subscriptions")</f>
        <v>Subscriptions</v>
      </c>
      <c r="G787" s="33"/>
      <c r="H787" s="33"/>
      <c r="I787" s="33"/>
      <c r="J787" s="33"/>
      <c r="K787" s="33"/>
    </row>
    <row r="788">
      <c r="A788" s="33" t="str">
        <f>IFERROR(__xludf.DUMMYFUNCTION("""COMPUTED_VALUE"""),"Debt")</f>
        <v>Debt</v>
      </c>
      <c r="B788" s="33" t="str">
        <f>IFERROR(__xludf.DUMMYFUNCTION("""COMPUTED_VALUE"""),"Groceries")</f>
        <v>Groceries</v>
      </c>
      <c r="C788" s="33" t="str">
        <f>IFERROR(__xludf.DUMMYFUNCTION("""COMPUTED_VALUE"""),"Healthcare")</f>
        <v>Healthcare</v>
      </c>
      <c r="D788" s="33" t="str">
        <f>IFERROR(__xludf.DUMMYFUNCTION("""COMPUTED_VALUE"""),"Household Items")</f>
        <v>Household Items</v>
      </c>
      <c r="E788" s="33" t="str">
        <f>IFERROR(__xludf.DUMMYFUNCTION("""COMPUTED_VALUE"""),"Housing")</f>
        <v>Housing</v>
      </c>
      <c r="F788" s="33" t="str">
        <f>IFERROR(__xludf.DUMMYFUNCTION("""COMPUTED_VALUE"""),"Miscellaneous")</f>
        <v>Miscellaneous</v>
      </c>
      <c r="G788" s="33" t="str">
        <f>IFERROR(__xludf.DUMMYFUNCTION("""COMPUTED_VALUE"""),"Pet")</f>
        <v>Pet</v>
      </c>
      <c r="H788" s="33" t="str">
        <f>IFERROR(__xludf.DUMMYFUNCTION("""COMPUTED_VALUE"""),"Transportation")</f>
        <v>Transportation</v>
      </c>
      <c r="I788" s="33"/>
      <c r="J788" s="33"/>
      <c r="K788" s="33"/>
    </row>
    <row r="789">
      <c r="A789" s="33" t="str">
        <f>IFERROR(__xludf.DUMMYFUNCTION("""COMPUTED_VALUE"""),"Debt")</f>
        <v>Debt</v>
      </c>
      <c r="B789" s="33" t="str">
        <f>IFERROR(__xludf.DUMMYFUNCTION("""COMPUTED_VALUE"""),"Groceries")</f>
        <v>Groceries</v>
      </c>
      <c r="C789" s="33" t="str">
        <f>IFERROR(__xludf.DUMMYFUNCTION("""COMPUTED_VALUE"""),"Healthcare")</f>
        <v>Healthcare</v>
      </c>
      <c r="D789" s="33" t="str">
        <f>IFERROR(__xludf.DUMMYFUNCTION("""COMPUTED_VALUE"""),"Household Items")</f>
        <v>Household Items</v>
      </c>
      <c r="E789" s="33" t="str">
        <f>IFERROR(__xludf.DUMMYFUNCTION("""COMPUTED_VALUE"""),"Housing")</f>
        <v>Housing</v>
      </c>
      <c r="F789" s="33" t="str">
        <f>IFERROR(__xludf.DUMMYFUNCTION("""COMPUTED_VALUE"""),"Miscellaneous")</f>
        <v>Miscellaneous</v>
      </c>
      <c r="G789" s="33" t="str">
        <f>IFERROR(__xludf.DUMMYFUNCTION("""COMPUTED_VALUE"""),"Pet")</f>
        <v>Pet</v>
      </c>
      <c r="H789" s="33" t="str">
        <f>IFERROR(__xludf.DUMMYFUNCTION("""COMPUTED_VALUE"""),"Transportation")</f>
        <v>Transportation</v>
      </c>
      <c r="I789" s="33"/>
      <c r="J789" s="33"/>
      <c r="K789" s="33"/>
    </row>
    <row r="790">
      <c r="A790" s="33" t="str">
        <f>IFERROR(__xludf.DUMMYFUNCTION("""COMPUTED_VALUE"""),"Debt")</f>
        <v>Debt</v>
      </c>
      <c r="B790" s="33" t="str">
        <f>IFERROR(__xludf.DUMMYFUNCTION("""COMPUTED_VALUE"""),"Groceries")</f>
        <v>Groceries</v>
      </c>
      <c r="C790" s="33" t="str">
        <f>IFERROR(__xludf.DUMMYFUNCTION("""COMPUTED_VALUE"""),"Healthcare")</f>
        <v>Healthcare</v>
      </c>
      <c r="D790" s="33" t="str">
        <f>IFERROR(__xludf.DUMMYFUNCTION("""COMPUTED_VALUE"""),"Household Items")</f>
        <v>Household Items</v>
      </c>
      <c r="E790" s="33" t="str">
        <f>IFERROR(__xludf.DUMMYFUNCTION("""COMPUTED_VALUE"""),"Housing")</f>
        <v>Housing</v>
      </c>
      <c r="F790" s="33" t="str">
        <f>IFERROR(__xludf.DUMMYFUNCTION("""COMPUTED_VALUE"""),"Miscellaneous")</f>
        <v>Miscellaneous</v>
      </c>
      <c r="G790" s="33" t="str">
        <f>IFERROR(__xludf.DUMMYFUNCTION("""COMPUTED_VALUE"""),"Pet")</f>
        <v>Pet</v>
      </c>
      <c r="H790" s="33" t="str">
        <f>IFERROR(__xludf.DUMMYFUNCTION("""COMPUTED_VALUE"""),"Transportation")</f>
        <v>Transportation</v>
      </c>
      <c r="I790" s="33"/>
      <c r="J790" s="33"/>
      <c r="K790" s="33"/>
    </row>
    <row r="791">
      <c r="A791" s="33" t="str">
        <f>IFERROR(__xludf.DUMMYFUNCTION("""COMPUTED_VALUE"""),"Debt")</f>
        <v>Debt</v>
      </c>
      <c r="B791" s="33" t="str">
        <f>IFERROR(__xludf.DUMMYFUNCTION("""COMPUTED_VALUE"""),"Groceries")</f>
        <v>Groceries</v>
      </c>
      <c r="C791" s="33" t="str">
        <f>IFERROR(__xludf.DUMMYFUNCTION("""COMPUTED_VALUE"""),"Healthcare")</f>
        <v>Healthcare</v>
      </c>
      <c r="D791" s="33" t="str">
        <f>IFERROR(__xludf.DUMMYFUNCTION("""COMPUTED_VALUE"""),"Household Items")</f>
        <v>Household Items</v>
      </c>
      <c r="E791" s="33" t="str">
        <f>IFERROR(__xludf.DUMMYFUNCTION("""COMPUTED_VALUE"""),"Housing")</f>
        <v>Housing</v>
      </c>
      <c r="F791" s="33" t="str">
        <f>IFERROR(__xludf.DUMMYFUNCTION("""COMPUTED_VALUE"""),"Miscellaneous")</f>
        <v>Miscellaneous</v>
      </c>
      <c r="G791" s="33" t="str">
        <f>IFERROR(__xludf.DUMMYFUNCTION("""COMPUTED_VALUE"""),"Pet")</f>
        <v>Pet</v>
      </c>
      <c r="H791" s="33" t="str">
        <f>IFERROR(__xludf.DUMMYFUNCTION("""COMPUTED_VALUE"""),"Transportation")</f>
        <v>Transportation</v>
      </c>
      <c r="I791" s="33"/>
      <c r="J791" s="33"/>
      <c r="K791" s="33"/>
    </row>
    <row r="792">
      <c r="A792" s="33" t="str">
        <f>IFERROR(__xludf.DUMMYFUNCTION("""COMPUTED_VALUE"""),"Debt")</f>
        <v>Debt</v>
      </c>
      <c r="B792" s="33" t="str">
        <f>IFERROR(__xludf.DUMMYFUNCTION("""COMPUTED_VALUE"""),"Groceries")</f>
        <v>Groceries</v>
      </c>
      <c r="C792" s="33" t="str">
        <f>IFERROR(__xludf.DUMMYFUNCTION("""COMPUTED_VALUE"""),"Healthcare")</f>
        <v>Healthcare</v>
      </c>
      <c r="D792" s="33" t="str">
        <f>IFERROR(__xludf.DUMMYFUNCTION("""COMPUTED_VALUE"""),"Household Items")</f>
        <v>Household Items</v>
      </c>
      <c r="E792" s="33" t="str">
        <f>IFERROR(__xludf.DUMMYFUNCTION("""COMPUTED_VALUE"""),"Housing")</f>
        <v>Housing</v>
      </c>
      <c r="F792" s="33" t="str">
        <f>IFERROR(__xludf.DUMMYFUNCTION("""COMPUTED_VALUE"""),"Miscellaneous")</f>
        <v>Miscellaneous</v>
      </c>
      <c r="G792" s="33" t="str">
        <f>IFERROR(__xludf.DUMMYFUNCTION("""COMPUTED_VALUE"""),"Pet")</f>
        <v>Pet</v>
      </c>
      <c r="H792" s="33" t="str">
        <f>IFERROR(__xludf.DUMMYFUNCTION("""COMPUTED_VALUE"""),"Transportation")</f>
        <v>Transportation</v>
      </c>
      <c r="I792" s="33"/>
      <c r="J792" s="33"/>
      <c r="K792" s="33"/>
    </row>
    <row r="793">
      <c r="A793" s="33" t="str">
        <f>IFERROR(__xludf.DUMMYFUNCTION("""COMPUTED_VALUE"""),"Debt")</f>
        <v>Debt</v>
      </c>
      <c r="B793" s="33" t="str">
        <f>IFERROR(__xludf.DUMMYFUNCTION("""COMPUTED_VALUE"""),"Groceries")</f>
        <v>Groceries</v>
      </c>
      <c r="C793" s="33" t="str">
        <f>IFERROR(__xludf.DUMMYFUNCTION("""COMPUTED_VALUE"""),"Healthcare")</f>
        <v>Healthcare</v>
      </c>
      <c r="D793" s="33" t="str">
        <f>IFERROR(__xludf.DUMMYFUNCTION("""COMPUTED_VALUE"""),"Household Items")</f>
        <v>Household Items</v>
      </c>
      <c r="E793" s="33" t="str">
        <f>IFERROR(__xludf.DUMMYFUNCTION("""COMPUTED_VALUE"""),"Housing")</f>
        <v>Housing</v>
      </c>
      <c r="F793" s="33" t="str">
        <f>IFERROR(__xludf.DUMMYFUNCTION("""COMPUTED_VALUE"""),"Miscellaneous")</f>
        <v>Miscellaneous</v>
      </c>
      <c r="G793" s="33" t="str">
        <f>IFERROR(__xludf.DUMMYFUNCTION("""COMPUTED_VALUE"""),"Pet")</f>
        <v>Pet</v>
      </c>
      <c r="H793" s="33" t="str">
        <f>IFERROR(__xludf.DUMMYFUNCTION("""COMPUTED_VALUE"""),"Transportation")</f>
        <v>Transportation</v>
      </c>
      <c r="I793" s="33"/>
      <c r="J793" s="33"/>
      <c r="K793" s="33"/>
    </row>
    <row r="794">
      <c r="A794" s="33" t="str">
        <f>IFERROR(__xludf.DUMMYFUNCTION("""COMPUTED_VALUE"""),"Clothing")</f>
        <v>Clothing</v>
      </c>
      <c r="B794" s="33" t="str">
        <f>IFERROR(__xludf.DUMMYFUNCTION("""COMPUTED_VALUE"""),"Gifts")</f>
        <v>Gifts</v>
      </c>
      <c r="C794" s="33" t="str">
        <f>IFERROR(__xludf.DUMMYFUNCTION("""COMPUTED_VALUE"""),"Healthcare")</f>
        <v>Healthcare</v>
      </c>
      <c r="D794" s="33" t="str">
        <f>IFERROR(__xludf.DUMMYFUNCTION("""COMPUTED_VALUE"""),"Hobbies")</f>
        <v>Hobbies</v>
      </c>
      <c r="E794" s="33" t="str">
        <f>IFERROR(__xludf.DUMMYFUNCTION("""COMPUTED_VALUE"""),"Organization")</f>
        <v>Organization</v>
      </c>
      <c r="F794" s="33"/>
      <c r="G794" s="33"/>
      <c r="H794" s="33"/>
      <c r="I794" s="33"/>
      <c r="J794" s="33"/>
      <c r="K794" s="33"/>
    </row>
    <row r="795">
      <c r="A795" s="33" t="str">
        <f>IFERROR(__xludf.DUMMYFUNCTION("""COMPUTED_VALUE"""),"Cashback")</f>
        <v>Cashback</v>
      </c>
      <c r="B795" s="33" t="str">
        <f>IFERROR(__xludf.DUMMYFUNCTION("""COMPUTED_VALUE"""),"Investment Returns")</f>
        <v>Investment Returns</v>
      </c>
      <c r="C795" s="33" t="str">
        <f>IFERROR(__xludf.DUMMYFUNCTION("""COMPUTED_VALUE"""),"Paycheck")</f>
        <v>Paycheck</v>
      </c>
      <c r="D795" s="33" t="str">
        <f>IFERROR(__xludf.DUMMYFUNCTION("""COMPUTED_VALUE"""),"Reimbursement")</f>
        <v>Reimbursement</v>
      </c>
      <c r="E795" s="33" t="str">
        <f>IFERROR(__xludf.DUMMYFUNCTION("""COMPUTED_VALUE"""),"Rewards")</f>
        <v>Rewards</v>
      </c>
      <c r="F795" s="33"/>
      <c r="G795" s="33"/>
      <c r="H795" s="33"/>
      <c r="I795" s="33"/>
      <c r="J795" s="33"/>
      <c r="K795" s="33"/>
    </row>
    <row r="796">
      <c r="A796" s="33" t="str">
        <f>IFERROR(__xludf.DUMMYFUNCTION("""COMPUTED_VALUE"""),"Cashback")</f>
        <v>Cashback</v>
      </c>
      <c r="B796" s="33" t="str">
        <f>IFERROR(__xludf.DUMMYFUNCTION("""COMPUTED_VALUE"""),"Investment Returns")</f>
        <v>Investment Returns</v>
      </c>
      <c r="C796" s="33" t="str">
        <f>IFERROR(__xludf.DUMMYFUNCTION("""COMPUTED_VALUE"""),"Paycheck")</f>
        <v>Paycheck</v>
      </c>
      <c r="D796" s="33" t="str">
        <f>IFERROR(__xludf.DUMMYFUNCTION("""COMPUTED_VALUE"""),"Reimbursement")</f>
        <v>Reimbursement</v>
      </c>
      <c r="E796" s="33" t="str">
        <f>IFERROR(__xludf.DUMMYFUNCTION("""COMPUTED_VALUE"""),"Rewards")</f>
        <v>Rewards</v>
      </c>
      <c r="F796" s="33"/>
      <c r="G796" s="33"/>
      <c r="H796" s="33"/>
      <c r="I796" s="33"/>
      <c r="J796" s="33"/>
      <c r="K796" s="33"/>
    </row>
  </sheetData>
  <drawing r:id="rId1"/>
</worksheet>
</file>